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Fréquentation" sheetId="2" state="visible" r:id="rId4"/>
    <sheet name="Qualité Eau" sheetId="3" state="visible" r:id="rId5"/>
    <sheet name="Énergie" sheetId="4" state="visible" r:id="rId6"/>
    <sheet name="Finances" sheetId="5" state="visible" r:id="rId7"/>
    <sheet name="RH &amp; Sécurité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<sst xmlns="http://schemas.openxmlformats.org/spreadsheetml/2006/main" count="872" uniqueCount="421">
  <si>
    <t xml:space="preserve">CENTRE AQUATIQUE – TABLEAU DE BORD ANNUEL 2025</t>
  </si>
  <si>
    <t xml:space="preserve">Données fictives – Janvier à Décembre 2025</t>
  </si>
  <si>
    <t xml:space="preserve">FRÉQUENTATION</t>
  </si>
  <si>
    <t xml:space="preserve">Indicateur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</si>
  <si>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</si>
  <si>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</si>
  <si>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</si>
  <si>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</si>
  <si>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</si>
  <si>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</si>
  <si>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</si>
  <si>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</si>
  <si>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</si>
  <si>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</si>
  <si>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</si>
  <si>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</si>
  <si>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Total 2025</t>
  </si>
  <si>
    <t xml:space="preserve">Évol. Jan→Déc</t>
  </si>
  <si>
    <t xml:space="preserve">Entrées totales</t>
  </si>
  <si>
    <t xml:space="preserve">  dont Adultes</t>
  </si>
  <si>
    <t xml:space="preserve">  dont Enfants</t>
  </si>
  <si>
    <t xml:space="preserve">  dont Scolaires</t>
  </si>
  <si>
    <t xml:space="preserve">  dont Abonnés (passages)</t>
  </si>
  <si>
    <t xml:space="preserve">  dont Occasionnels</t>
  </si>
  <si>
    <t xml:space="preserve">Abonnés actifs (moy)</t>
  </si>
  <si>
    <t xml:space="preserve">Taux d'occupation (moy)</t>
  </si>
  <si>
    <t xml:space="preserve">Entrées totales N-1 (2024)</t>
  </si>
  <si>
    <t xml:space="preserve">Écart entrées vs N-1</t>
  </si>
  <si>
    <t xml:space="preserve">–</t>
  </si>
  <si>
    <t xml:space="preserve">Réclamations usagers (nb)</t>
  </si>
  <si>
    <t xml:space="preserve">FINANCES (€)</t>
  </si>
  <si>
    <t xml:space="preserve">Recettes Billetterie</t>
  </si>
  <si>
    <t xml:space="preserve">Recettes Abonnements</t>
  </si>
  <si>
    <t xml:space="preserve">Recettes Cours</t>
  </si>
  <si>
    <t xml:space="preserve">Recettes Location</t>
  </si>
  <si>
    <t xml:space="preserve">Recettes Restauration</t>
  </si>
  <si>
    <t xml:space="preserve">Recettes Autres</t>
  </si>
  <si>
    <t xml:space="preserve">TOTAL RECETTES</t>
  </si>
  <si>
    <t xml:space="preserve">Charges Personnel</t>
  </si>
  <si>
    <t xml:space="preserve">Charges Patronales</t>
  </si>
  <si>
    <t xml:space="preserve">Charges Électricité</t>
  </si>
  <si>
    <t xml:space="preserve">Charges Gaz</t>
  </si>
  <si>
    <t xml:space="preserve">Charges Eau</t>
  </si>
  <si>
    <t xml:space="preserve">Charges Produits Chim.</t>
  </si>
  <si>
    <t xml:space="preserve">Charges Maint. Préventive</t>
  </si>
  <si>
    <t xml:space="preserve">Charges Maint. Corrective</t>
  </si>
  <si>
    <t xml:space="preserve">Charges Assurances</t>
  </si>
  <si>
    <t xml:space="preserve">Charges Autres</t>
  </si>
  <si>
    <t xml:space="preserve">TOTAL CHARGES</t>
  </si>
  <si>
    <t xml:space="preserve">RÉSULTAT D'EXPLOITATION</t>
  </si>
  <si>
    <t xml:space="preserve">QUALITÉ DE L'EAU &amp; HYGIÈNE (moyennes mensuelles)</t>
  </si>
  <si>
    <t xml:space="preserve">pH (cible 7.2–7.6)</t>
  </si>
  <si>
    <t xml:space="preserve">Chlore libre mg/L</t>
  </si>
  <si>
    <t xml:space="preserve">Température bassin (°C)</t>
  </si>
  <si>
    <t xml:space="preserve">Turbidité NTU (&lt; 0.5)</t>
  </si>
  <si>
    <t xml:space="preserve">Trichloramines mg/L (&lt; 0.3)</t>
  </si>
  <si>
    <t xml:space="preserve">Non-conformités (nb)</t>
  </si>
  <si>
    <t xml:space="preserve">RESSOURCES HUMAINES &amp; SÉCURITÉ</t>
  </si>
  <si>
    <t xml:space="preserve">Jours d'absence</t>
  </si>
  <si>
    <t xml:space="preserve">Taux d'absentéisme</t>
  </si>
  <si>
    <t xml:space="preserve">Formations réalisées</t>
  </si>
  <si>
    <t xml:space="preserve">Accidents / Incidents</t>
  </si>
  <si>
    <t xml:space="preserve">ÉNERGIE &amp; ENVIRONNEMENT</t>
  </si>
  <si>
    <t xml:space="preserve">Électricité (kWh)</t>
  </si>
  <si>
    <t xml:space="preserve">Gaz (m³)</t>
  </si>
  <si>
    <t xml:space="preserve">Eau (m³)</t>
  </si>
  <si>
    <t xml:space="preserve">Coût Électricité (€)</t>
  </si>
  <si>
    <t xml:space="preserve">Coût Gaz (€)</t>
  </si>
  <si>
    <t xml:space="preserve">Coût Eau (€)</t>
  </si>
  <si>
    <t xml:space="preserve">COÛT TOTAL ÉNERGIE (€)</t>
  </si>
  <si>
    <t xml:space="preserve">Prix moyen électricité (€/kWh)</t>
  </si>
  <si>
    <t xml:space="preserve">Prix moyen gaz (€/m³)</t>
  </si>
  <si>
    <t xml:space="preserve">FRÉQUENTATION DÉTAILLÉE – JANVIER À DÉCEMBRE 2025 (48 semaines)</t>
  </si>
  <si>
    <t xml:space="preserve">JANVIER 2025</t>
  </si>
  <si>
    <t xml:space="preserve">Semaine</t>
  </si>
  <si>
    <t xml:space="preserve">Adultes</t>
  </si>
  <si>
    <t xml:space="preserve">Enfants</t>
  </si>
  <si>
    <t xml:space="preserve">Scolaires</t>
  </si>
  <si>
    <t xml:space="preserve">Abonnés</t>
  </si>
  <si>
    <t xml:space="preserve">Occasionnels</t>
  </si>
  <si>
    <t xml:space="preserve">Total Entrées</t>
  </si>
  <si>
    <t xml:space="preserve">Taux Occ.</t>
  </si>
  <si>
    <t xml:space="preserve">Janv. S1 (06-12 jan)</t>
  </si>
  <si>
    <t xml:space="preserve">Janv. S2 (13-19 jan)</t>
  </si>
  <si>
    <t xml:space="preserve">Janv. S3 (20-26 jan)</t>
  </si>
  <si>
    <t xml:space="preserve">Janv. S4 (27-31 jan)</t>
  </si>
  <si>
    <t xml:space="preserve">TOTAL JANVIER</t>
  </si>
  <si>
    <t xml:space="preserve">FÉVRIER 2025</t>
  </si>
  <si>
    <t xml:space="preserve">Fév. S1 (03-09 fév)</t>
  </si>
  <si>
    <t xml:space="preserve">Fév. S2 (10-16 fév)</t>
  </si>
  <si>
    <t xml:space="preserve">Fév. S3 (17-23 fév)</t>
  </si>
  <si>
    <t xml:space="preserve">Fév. S4 (24-28 fév)</t>
  </si>
  <si>
    <t xml:space="preserve">TOTAL FÉVRIER</t>
  </si>
  <si>
    <t xml:space="preserve">MARS 2025</t>
  </si>
  <si>
    <t xml:space="preserve">Mars S1 (03-09 mar)</t>
  </si>
  <si>
    <t xml:space="preserve">Mars S2 (10-16 mar)</t>
  </si>
  <si>
    <t xml:space="preserve">Mars S3 (17-23 mar)</t>
  </si>
  <si>
    <t xml:space="preserve">Mars S4 (24-31 mar)</t>
  </si>
  <si>
    <t xml:space="preserve">TOTAL MARS</t>
  </si>
  <si>
    <t xml:space="preserve">AVRIL 2025</t>
  </si>
  <si>
    <t xml:space="preserve">Avr. S1 (07-13 avr)</t>
  </si>
  <si>
    <t xml:space="preserve">Avr. S2 (14-20 avr)</t>
  </si>
  <si>
    <t xml:space="preserve">Avr. S3 (21-27 avr)</t>
  </si>
  <si>
    <t xml:space="preserve">Avr. S4 (28-30 avr)</t>
  </si>
  <si>
    <t xml:space="preserve">TOTAL AVRIL</t>
  </si>
  <si>
    <t xml:space="preserve">MAI 2025</t>
  </si>
  <si>
    <t xml:space="preserve">Mai S1 (05-11 mai)</t>
  </si>
  <si>
    <t xml:space="preserve">Mai S2 (12-18 mai)</t>
  </si>
  <si>
    <t xml:space="preserve">Mai S3 (19-25 mai)</t>
  </si>
  <si>
    <t xml:space="preserve">Mai S4 (26-31 mai)</t>
  </si>
  <si>
    <t xml:space="preserve">TOTAL MAI</t>
  </si>
  <si>
    <t xml:space="preserve">JUIN 2025</t>
  </si>
  <si>
    <t xml:space="preserve">Juin S1 (02-08 jun)</t>
  </si>
  <si>
    <t xml:space="preserve">Juin S2 (09-15 jun)</t>
  </si>
  <si>
    <t xml:space="preserve">Juin S3 (16-22 jun)</t>
  </si>
  <si>
    <t xml:space="preserve">Juin S4 (23-30 jun)</t>
  </si>
  <si>
    <t xml:space="preserve">TOTAL JUIN</t>
  </si>
  <si>
    <t xml:space="preserve">JUILLET 2025</t>
  </si>
  <si>
    <t xml:space="preserve">Juil. S1 (07-13 jul)</t>
  </si>
  <si>
    <t xml:space="preserve">Juil. S2 (14-20 jul)</t>
  </si>
  <si>
    <t xml:space="preserve">Juil. S3 (21-27 jul)</t>
  </si>
  <si>
    <t xml:space="preserve">Juil. S4 (28-31 jul)</t>
  </si>
  <si>
    <t xml:space="preserve">TOTAL JUILLET</t>
  </si>
  <si>
    <t xml:space="preserve">AOÛT 2025</t>
  </si>
  <si>
    <t xml:space="preserve">Août S1 (04-10 aoû)</t>
  </si>
  <si>
    <t xml:space="preserve">Août S2 (11-17 aoû)</t>
  </si>
  <si>
    <t xml:space="preserve">Août S3 (18-24 aoû)</t>
  </si>
  <si>
    <t xml:space="preserve">Août S4 (25-31 aoû)</t>
  </si>
  <si>
    <t xml:space="preserve">TOTAL AOÛT</t>
  </si>
  <si>
    <t xml:space="preserve">SEPTEMBRE 2025</t>
  </si>
  <si>
    <t xml:space="preserve">Sept. S1 (01-07 sep)</t>
  </si>
  <si>
    <t xml:space="preserve">Sept. S2 (08-14 sep)</t>
  </si>
  <si>
    <t xml:space="preserve">Sept. S3 (15-21 sep)</t>
  </si>
  <si>
    <t xml:space="preserve">Sept. S4 (22-30 sep)</t>
  </si>
  <si>
    <t xml:space="preserve">TOTAL SEPTEMBRE</t>
  </si>
  <si>
    <t xml:space="preserve">OCTOBRE 2025</t>
  </si>
  <si>
    <t xml:space="preserve">Oct. S1 (06-12 oct)</t>
  </si>
  <si>
    <t xml:space="preserve">Oct. S2 (13-19 oct)</t>
  </si>
  <si>
    <t xml:space="preserve">Oct. S3 (20-26 oct)</t>
  </si>
  <si>
    <t xml:space="preserve">Oct. S4 (27-31 oct)</t>
  </si>
  <si>
    <t xml:space="preserve">TOTAL OCTOBRE</t>
  </si>
  <si>
    <t xml:space="preserve">NOVEMBRE 2025</t>
  </si>
  <si>
    <t xml:space="preserve">Nov. S1 (03-09 nov)</t>
  </si>
  <si>
    <t xml:space="preserve">Nov. S2 (10-16 nov)</t>
  </si>
  <si>
    <t xml:space="preserve">Nov. S3 (17-23 nov)</t>
  </si>
  <si>
    <t xml:space="preserve">Nov. S4 (24-30 nov)</t>
  </si>
  <si>
    <t xml:space="preserve">TOTAL NOVEMBRE</t>
  </si>
  <si>
    <t xml:space="preserve">DÉCEMBRE 2025</t>
  </si>
  <si>
    <t xml:space="preserve">Déc. S1 (01-07 déc)</t>
  </si>
  <si>
    <t xml:space="preserve">Déc. S2 (08-14 déc)</t>
  </si>
  <si>
    <t xml:space="preserve">Déc. S3 (15-21 déc)</t>
  </si>
  <si>
    <t xml:space="preserve">Déc. S4 (22-31 déc)</t>
  </si>
  <si>
    <t xml:space="preserve">TOTAL DÉCEMBRE</t>
  </si>
  <si>
    <t xml:space="preserve">SUIVI QUALITÉ DE L'EAU – JANVIER À DÉCEMBRE 2025 (48 semaines)</t>
  </si>
  <si>
    <t xml:space="preserve">NORMES RÉGLEMENTAIRES</t>
  </si>
  <si>
    <t xml:space="preserve">Paramètre</t>
  </si>
  <si>
    <t xml:space="preserve">Valeur réglementaire</t>
  </si>
  <si>
    <t xml:space="preserve">pH</t>
  </si>
  <si>
    <t xml:space="preserve">7.2 – 7.6</t>
  </si>
  <si>
    <t xml:space="preserve">0.4 – 1.4</t>
  </si>
  <si>
    <t xml:space="preserve">Température °C</t>
  </si>
  <si>
    <t xml:space="preserve">26 – 28 (confort recommandé)</t>
  </si>
  <si>
    <t xml:space="preserve">Turbidité NTU</t>
  </si>
  <si>
    <t xml:space="preserve">&lt; 0.5</t>
  </si>
  <si>
    <t xml:space="preserve">Trichloramines mg/L</t>
  </si>
  <si>
    <t xml:space="preserve">&lt; 0.3</t>
  </si>
  <si>
    <t xml:space="preserve">RELEVÉS HEBDOMADAIRES – BASSIN PRINCIPAL</t>
  </si>
  <si>
    <t xml:space="preserve">Chlore libre</t>
  </si>
  <si>
    <t xml:space="preserve">Temp. (°C)</t>
  </si>
  <si>
    <t xml:space="preserve">Turbidité</t>
  </si>
  <si>
    <t xml:space="preserve">Trichloramines</t>
  </si>
  <si>
    <t xml:space="preserve">Contrôle</t>
  </si>
  <si>
    <t xml:space="preserve">Non-conf.</t>
  </si>
  <si>
    <t xml:space="preserve">Commentaire</t>
  </si>
  <si>
    <t xml:space="preserve">Janv. S1</t>
  </si>
  <si>
    <t xml:space="preserve">Conforme</t>
  </si>
  <si>
    <t xml:space="preserve">Janv. S2</t>
  </si>
  <si>
    <t xml:space="preserve">Janv. S3</t>
  </si>
  <si>
    <t xml:space="preserve">1 écart</t>
  </si>
  <si>
    <t xml:space="preserve">pH légèrement bas le 22/01, corrigé</t>
  </si>
  <si>
    <t xml:space="preserve">Janv. S4</t>
  </si>
  <si>
    <t xml:space="preserve">Fév. S1</t>
  </si>
  <si>
    <t xml:space="preserve">Fév. S2</t>
  </si>
  <si>
    <t xml:space="preserve">Turbidité 0.48 NTU le 12/02, backwash</t>
  </si>
  <si>
    <t xml:space="preserve">Fév. S3</t>
  </si>
  <si>
    <t xml:space="preserve">Fév. S4</t>
  </si>
  <si>
    <t xml:space="preserve">Mars S1</t>
  </si>
  <si>
    <t xml:space="preserve">Mars S2</t>
  </si>
  <si>
    <t xml:space="preserve">Mars S3</t>
  </si>
  <si>
    <t xml:space="preserve">Mars S4</t>
  </si>
  <si>
    <t xml:space="preserve">Avr. S1</t>
  </si>
  <si>
    <t xml:space="preserve">Avr. S2</t>
  </si>
  <si>
    <t xml:space="preserve">Avr. S3</t>
  </si>
  <si>
    <t xml:space="preserve">Avr. S4</t>
  </si>
  <si>
    <t xml:space="preserve">Mai S1</t>
  </si>
  <si>
    <t xml:space="preserve">Mai S2</t>
  </si>
  <si>
    <t xml:space="preserve">Mai S3</t>
  </si>
  <si>
    <t xml:space="preserve">Mai S4</t>
  </si>
  <si>
    <t xml:space="preserve">Juin S1</t>
  </si>
  <si>
    <t xml:space="preserve">Légère hausse trichloramines, aération renforcée</t>
  </si>
  <si>
    <t xml:space="preserve">Juin S2</t>
  </si>
  <si>
    <t xml:space="preserve">Juin S3</t>
  </si>
  <si>
    <t xml:space="preserve">Juin S4</t>
  </si>
  <si>
    <t xml:space="preserve">Juil. S1</t>
  </si>
  <si>
    <t xml:space="preserve">Abaissement de la consigne de chauffage du bassin à 26 °C</t>
  </si>
  <si>
    <t xml:space="preserve">Juil. S2</t>
  </si>
  <si>
    <t xml:space="preserve">Juil. S3</t>
  </si>
  <si>
    <t xml:space="preserve">Juil. S4</t>
  </si>
  <si>
    <t xml:space="preserve">Août S1</t>
  </si>
  <si>
    <t xml:space="preserve">Août S2</t>
  </si>
  <si>
    <t xml:space="preserve">Août S3</t>
  </si>
  <si>
    <t xml:space="preserve">Chlore libre bas (0.38) le 20/08, dosage ajusté</t>
  </si>
  <si>
    <t xml:space="preserve">Août S4</t>
  </si>
  <si>
    <t xml:space="preserve">Sept. S1</t>
  </si>
  <si>
    <t xml:space="preserve">Sept. S2</t>
  </si>
  <si>
    <t xml:space="preserve">Sept. S3</t>
  </si>
  <si>
    <t xml:space="preserve">Sept. S4</t>
  </si>
  <si>
    <t xml:space="preserve">Oct. S1</t>
  </si>
  <si>
    <t xml:space="preserve">Oct. S2</t>
  </si>
  <si>
    <t xml:space="preserve">Oct. S3</t>
  </si>
  <si>
    <t xml:space="preserve">Oct. S4</t>
  </si>
  <si>
    <t xml:space="preserve">Nov. S1</t>
  </si>
  <si>
    <t xml:space="preserve">Nov. S2</t>
  </si>
  <si>
    <t xml:space="preserve">pH 7.7 le 13/11, correction acide</t>
  </si>
  <si>
    <t xml:space="preserve">Nov. S3</t>
  </si>
  <si>
    <t xml:space="preserve">Nov. S4</t>
  </si>
  <si>
    <t xml:space="preserve">Déc. S1</t>
  </si>
  <si>
    <t xml:space="preserve">Déc. S2</t>
  </si>
  <si>
    <t xml:space="preserve">Déc. S3</t>
  </si>
  <si>
    <t xml:space="preserve">Déc. S4</t>
  </si>
  <si>
    <t xml:space="preserve">MOYENNE / TOTAL</t>
  </si>
  <si>
    <t xml:space="preserve">SUIVI ÉNERGÉTIQUE &amp; ENVIRONNEMENTAL – JANVIER À DÉCEMBRE 2025</t>
  </si>
  <si>
    <t xml:space="preserve">CONSOMMATIONS HEBDOMADAIRES</t>
  </si>
  <si>
    <t xml:space="preserve">Coût Élec. (€)</t>
  </si>
  <si>
    <t xml:space="preserve">Coût Total (€)</t>
  </si>
  <si>
    <t xml:space="preserve">Prix élec. (€/kWh)</t>
  </si>
  <si>
    <t xml:space="preserve">Prix gaz (€/m³)</t>
  </si>
  <si>
    <t xml:space="preserve">TOTAL 2025</t>
  </si>
  <si>
    <t xml:space="preserve">OBJECTIFS ENVIRONNEMENTAUX 2025 – SUIVI MENSUEL</t>
  </si>
  <si>
    <t xml:space="preserve">Objectif</t>
  </si>
  <si>
    <t xml:space="preserve">Cible annuelle</t>
  </si>
  <si>
    <t xml:space="preserve">Janv.</t>
  </si>
  <si>
    <t xml:space="preserve">Fév.</t>
  </si>
  <si>
    <t xml:space="preserve">Avr.</t>
  </si>
  <si>
    <t xml:space="preserve">Juil.</t>
  </si>
  <si>
    <t xml:space="preserve">Sept.</t>
  </si>
  <si>
    <t xml:space="preserve">Oct.</t>
  </si>
  <si>
    <t xml:space="preserve">Nov.</t>
  </si>
  <si>
    <t xml:space="preserve">Déc.</t>
  </si>
  <si>
    <t xml:space="preserve">Réduction élec. vs N-1</t>
  </si>
  <si>
    <t xml:space="preserve">-5%</t>
  </si>
  <si>
    <t xml:space="preserve">Réduction gaz vs N-1</t>
  </si>
  <si>
    <t xml:space="preserve">-4%</t>
  </si>
  <si>
    <t xml:space="preserve">Réduction eau vs N-1</t>
  </si>
  <si>
    <t xml:space="preserve">-3%</t>
  </si>
  <si>
    <t xml:space="preserve">Coût énergie/baigneur</t>
  </si>
  <si>
    <t xml:space="preserve">&lt; 2.50 €</t>
  </si>
  <si>
    <t xml:space="preserve">Part énergies renouvelables</t>
  </si>
  <si>
    <t xml:space="preserve">20%</t>
  </si>
  <si>
    <t xml:space="preserve">SUIVI FINANCIER DÉTAILLÉ – JANVIER À DÉCEMBRE 2025</t>
  </si>
  <si>
    <t xml:space="preserve">RECETTES</t>
  </si>
  <si>
    <t xml:space="preserve">Poste</t>
  </si>
  <si>
    <t xml:space="preserve">Budget mensuel</t>
  </si>
  <si>
    <t xml:space="preserve">Billetterie</t>
  </si>
  <si>
    <t xml:space="preserve">Abonnements</t>
  </si>
  <si>
    <t xml:space="preserve">Cours collectifs</t>
  </si>
  <si>
    <t xml:space="preserve">Location matériel</t>
  </si>
  <si>
    <t xml:space="preserve">Restauration</t>
  </si>
  <si>
    <t xml:space="preserve">Autres</t>
  </si>
  <si>
    <t xml:space="preserve">CHARGES</t>
  </si>
  <si>
    <t xml:space="preserve">Personnel (salaires)</t>
  </si>
  <si>
    <t xml:space="preserve">Charges patronales</t>
  </si>
  <si>
    <t xml:space="preserve">Électricité</t>
  </si>
  <si>
    <t xml:space="preserve">Gaz</t>
  </si>
  <si>
    <t xml:space="preserve">Eau</t>
  </si>
  <si>
    <t xml:space="preserve">Produits chimiques</t>
  </si>
  <si>
    <t xml:space="preserve">Maintenance préventive</t>
  </si>
  <si>
    <t xml:space="preserve">Maintenance corrective</t>
  </si>
  <si>
    <t xml:space="preserve">Assurances</t>
  </si>
  <si>
    <t xml:space="preserve">Autres charges</t>
  </si>
  <si>
    <t xml:space="preserve">ÉVOLUTION &amp; RATIOS</t>
  </si>
  <si>
    <t xml:space="preserve">Recettes totales / Baigneur (€)</t>
  </si>
  <si>
    <t xml:space="preserve">Charges totales / Baigneur (€)</t>
  </si>
  <si>
    <t xml:space="preserve">Marge billetterie après énergie (%)</t>
  </si>
  <si>
    <t xml:space="preserve">RESSOURCES HUMAINES &amp; SÉCURITÉ – JANVIER À DÉCEMBRE 2025</t>
  </si>
  <si>
    <t xml:space="preserve">EFFECTIFS PAR POSTE</t>
  </si>
  <si>
    <t xml:space="preserve">ETP Prévu</t>
  </si>
  <si>
    <t xml:space="preserve">Maîtres-nageurs</t>
  </si>
  <si>
    <t xml:space="preserve">Accueil / Caisse</t>
  </si>
  <si>
    <t xml:space="preserve">Technique / Piscine</t>
  </si>
  <si>
    <t xml:space="preserve">Nettoyage</t>
  </si>
  <si>
    <t xml:space="preserve">Direction / Admin.</t>
  </si>
  <si>
    <t xml:space="preserve">TOTAL ETP</t>
  </si>
  <si>
    <t xml:space="preserve">SUIVI ABSENTÉISME MENSUEL</t>
  </si>
  <si>
    <t xml:space="preserve">Budget/Cible</t>
  </si>
  <si>
    <t xml:space="preserve">&lt; 10 j/mois</t>
  </si>
  <si>
    <t xml:space="preserve">&lt; 3.0%</t>
  </si>
  <si>
    <t xml:space="preserve">Heures supp. réalisées</t>
  </si>
  <si>
    <t xml:space="preserve">≥ 2/mois</t>
  </si>
  <si>
    <t xml:space="preserve">Accidents / incidents</t>
  </si>
  <si>
    <t xml:space="preserve">0</t>
  </si>
  <si>
    <t xml:space="preserve">FORMATIONS &amp; HABILITATIONS – SUIVI 2025</t>
  </si>
  <si>
    <t xml:space="preserve">Formation / Habilitation</t>
  </si>
  <si>
    <t xml:space="preserve">Nb concernés</t>
  </si>
  <si>
    <t xml:space="preserve">Validité</t>
  </si>
  <si>
    <t xml:space="preserve">T1 (janv.-mars)</t>
  </si>
  <si>
    <t xml:space="preserve">T2 (avr.-juin)</t>
  </si>
  <si>
    <t xml:space="preserve">T3 (juil.-sept.)</t>
  </si>
  <si>
    <t xml:space="preserve">T4 (oct.-déc.)</t>
  </si>
  <si>
    <t xml:space="preserve">Statut</t>
  </si>
  <si>
    <t xml:space="preserve">BNSSA (Brevet MNS)</t>
  </si>
  <si>
    <t xml:space="preserve">5 ans</t>
  </si>
  <si>
    <t xml:space="preserve">À jour</t>
  </si>
  <si>
    <t xml:space="preserve">OK – Éch. 2027</t>
  </si>
  <si>
    <t xml:space="preserve">PSE1 (Premiers Secours)</t>
  </si>
  <si>
    <t xml:space="preserve">2 ans</t>
  </si>
  <si>
    <t xml:space="preserve">Réalisé</t>
  </si>
  <si>
    <t xml:space="preserve">OK – Renouvelé nov. 2025</t>
  </si>
  <si>
    <t xml:space="preserve">Recyclage PSE1</t>
  </si>
  <si>
    <t xml:space="preserve">Annuel</t>
  </si>
  <si>
    <t xml:space="preserve">OK</t>
  </si>
  <si>
    <t xml:space="preserve">Formation POSS</t>
  </si>
  <si>
    <t xml:space="preserve">Habilitation élec. B1V</t>
  </si>
  <si>
    <t xml:space="preserve">3 ans</t>
  </si>
  <si>
    <t xml:space="preserve">OK – Éch. juin 2026</t>
  </si>
  <si>
    <t xml:space="preserve">Gestes &amp; postures</t>
  </si>
  <si>
    <t xml:space="preserve">HACCP restauration</t>
  </si>
  <si>
    <t xml:space="preserve">À planifier</t>
  </si>
  <si>
    <t xml:space="preserve">OK – Renouvelé sept. 2025</t>
  </si>
  <si>
    <t xml:space="preserve">Exercice évacuation incendie</t>
  </si>
  <si>
    <t xml:space="preserve">Sensibilisation DUERP</t>
  </si>
  <si>
    <t xml:space="preserve">REGISTRE INCIDENTS &amp; ACCIDENTS – 2025</t>
  </si>
  <si>
    <t xml:space="preserve">Date</t>
  </si>
  <si>
    <t xml:space="preserve">Type d'incident</t>
  </si>
  <si>
    <t xml:space="preserve">Personnes impliquées</t>
  </si>
  <si>
    <t xml:space="preserve">Localisation</t>
  </si>
  <si>
    <t xml:space="preserve">Gravité</t>
  </si>
  <si>
    <t xml:space="preserve">Actions correctives</t>
  </si>
  <si>
    <t xml:space="preserve">Clôturé ?</t>
  </si>
  <si>
    <t xml:space="preserve">Référence</t>
  </si>
  <si>
    <t xml:space="preserve">15/01/2025</t>
  </si>
  <si>
    <t xml:space="preserve">Chute bord bassin</t>
  </si>
  <si>
    <t xml:space="preserve">1 baigneur adulte</t>
  </si>
  <si>
    <t xml:space="preserve">Plage bassin nage</t>
  </si>
  <si>
    <t xml:space="preserve">Légère (contusion)</t>
  </si>
  <si>
    <t xml:space="preserve">Revêtement antidérapant</t>
  </si>
  <si>
    <t xml:space="preserve">Oui</t>
  </si>
  <si>
    <t xml:space="preserve">INC-2025-001</t>
  </si>
  <si>
    <t xml:space="preserve">22/01/2025</t>
  </si>
  <si>
    <t xml:space="preserve">Malaise baigneur</t>
  </si>
  <si>
    <t xml:space="preserve">1 baigneur senior</t>
  </si>
  <si>
    <t xml:space="preserve">Bassin nage</t>
  </si>
  <si>
    <t xml:space="preserve">Moyenne (MNS intervenu)</t>
  </si>
  <si>
    <t xml:space="preserve">POSS + formation PSE</t>
  </si>
  <si>
    <t xml:space="preserve">INC-2025-002</t>
  </si>
  <si>
    <t xml:space="preserve">08/02/2025</t>
  </si>
  <si>
    <t xml:space="preserve">Chute vestiaires</t>
  </si>
  <si>
    <t xml:space="preserve">1 employé ménage</t>
  </si>
  <si>
    <t xml:space="preserve">Vestiaires femmes</t>
  </si>
  <si>
    <t xml:space="preserve">Légère (lombaire)</t>
  </si>
  <si>
    <t xml:space="preserve">Déclaration AT, adaptation poste</t>
  </si>
  <si>
    <t xml:space="preserve">INC-2025-003</t>
  </si>
  <si>
    <t xml:space="preserve">14/02/2025</t>
  </si>
  <si>
    <t xml:space="preserve">Non-conformité eau</t>
  </si>
  <si>
    <t xml:space="preserve">Bassin polyvalent</t>
  </si>
  <si>
    <t xml:space="preserve">Mineure (qualité)</t>
  </si>
  <si>
    <t xml:space="preserve">Backwash + ajustement chlore</t>
  </si>
  <si>
    <t xml:space="preserve">INC-2025-004</t>
  </si>
  <si>
    <t xml:space="preserve">04/03/2025</t>
  </si>
  <si>
    <t xml:space="preserve">Blessure toboggan</t>
  </si>
  <si>
    <t xml:space="preserve">1 enfant 8 ans</t>
  </si>
  <si>
    <t xml:space="preserve">Toboggan</t>
  </si>
  <si>
    <t xml:space="preserve">Légère (écorchure)</t>
  </si>
  <si>
    <t xml:space="preserve">Inspection + signalétique</t>
  </si>
  <si>
    <t xml:space="preserve">INC-2025-005</t>
  </si>
  <si>
    <t xml:space="preserve">17/05/2025</t>
  </si>
  <si>
    <t xml:space="preserve">Glissade douches</t>
  </si>
  <si>
    <t xml:space="preserve">Douches</t>
  </si>
  <si>
    <t xml:space="preserve">Nettoyage renforcé</t>
  </si>
  <si>
    <t xml:space="preserve">INC-2025-006</t>
  </si>
  <si>
    <t xml:space="preserve">18/06/2025</t>
  </si>
  <si>
    <t xml:space="preserve">Incivisme vestiaires</t>
  </si>
  <si>
    <t xml:space="preserve">1 adulte</t>
  </si>
  <si>
    <t xml:space="preserve">Vestiaires hommes</t>
  </si>
  <si>
    <t xml:space="preserve">Comportement</t>
  </si>
  <si>
    <t xml:space="preserve">Exclusion temp. + rappel règles</t>
  </si>
  <si>
    <t xml:space="preserve">INC-2025-007</t>
  </si>
  <si>
    <t xml:space="preserve">23/07/2025</t>
  </si>
  <si>
    <t xml:space="preserve">Coupure pied</t>
  </si>
  <si>
    <t xml:space="preserve">1 enfant 10 ans</t>
  </si>
  <si>
    <t xml:space="preserve">Plage extérieure</t>
  </si>
  <si>
    <t xml:space="preserve">Légère (plaie)</t>
  </si>
  <si>
    <t xml:space="preserve">Inspection des dalles</t>
  </si>
  <si>
    <t xml:space="preserve">INC-2025-008</t>
  </si>
  <si>
    <t xml:space="preserve">09/09/2025</t>
  </si>
  <si>
    <t xml:space="preserve">Altercation à l'accueil</t>
  </si>
  <si>
    <t xml:space="preserve">1 usager abonné</t>
  </si>
  <si>
    <t xml:space="preserve">Accueil</t>
  </si>
  <si>
    <t xml:space="preserve">Comportement (verbal)</t>
  </si>
  <si>
    <t xml:space="preserve">Rappel règlement, médiation direction</t>
  </si>
  <si>
    <t xml:space="preserve">INC-2025-009</t>
  </si>
  <si>
    <t xml:space="preserve">26/09/2025</t>
  </si>
  <si>
    <t xml:space="preserve">1 participante aquagym</t>
  </si>
  <si>
    <t xml:space="preserve">Moyenne (frissons, MNS intervenu)</t>
  </si>
  <si>
    <t xml:space="preserve">Prise en charge, appel famille</t>
  </si>
  <si>
    <t xml:space="preserve">INC-2025-010</t>
  </si>
  <si>
    <t xml:space="preserve">15/10/2025</t>
  </si>
  <si>
    <t xml:space="preserve">Chute escalier toboggan</t>
  </si>
  <si>
    <t xml:space="preserve">1 adolescent</t>
  </si>
  <si>
    <t xml:space="preserve">Légère (entorse)</t>
  </si>
  <si>
    <t xml:space="preserve">Signalétique renforcée</t>
  </si>
  <si>
    <t xml:space="preserve">INC-2025-011</t>
  </si>
  <si>
    <t xml:space="preserve">06/11/2025</t>
  </si>
  <si>
    <t xml:space="preserve">Réclamation collective</t>
  </si>
  <si>
    <t xml:space="preserve">Club seniors (12 signataires)</t>
  </si>
  <si>
    <t xml:space="preserve">Comportement (courrier)</t>
  </si>
  <si>
    <t xml:space="preserve">Réponse écrite de la direction</t>
  </si>
  <si>
    <t xml:space="preserve">INC-2025-012</t>
  </si>
  <si>
    <t xml:space="preserve">11/12/2025</t>
  </si>
  <si>
    <t xml:space="preserve">Tapis antidérapants</t>
  </si>
  <si>
    <t xml:space="preserve">INC-2025-013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</si>
</sst>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#,##0&quot; €&quot;"/>
    <numFmt numFmtId="168" formatCode="0.00"/>
    <numFmt numFmtId="169" formatCode="0.000&quot; €&quot;"/>
    <numFmt numFmtId="170" formatCode="0.00&quot; €&quot;"/>
    <numFmt numFmtId="171" formatCode="0.0"/>
    <numFmt numFmtId="172" formatCode="\+0.0%;\-0.0%;0.0%"/>
    <numFmt numFmtId="173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  <col collapsed="false" customWidth="true" hidden="false" outlineLevel="0" max="14" min="14" style="0" width="13"/>
    <col collapsed="false" customWidth="true" hidden="false" outlineLevel="0" max="15" min="15" style="0" width="14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</row>
    <row r="6" customFormat="false" ht="18" hidden="false" customHeight="true" outlineLevel="0" collapsed="false">
      <c r="A6" s="5" t="s">
        <v>18</v>
      </c>
      <c r="B6" s="6" t="n">
        <f aca="false">Fréquentation!G9</f>
        <v>8024</v>
      </c>
      <c r="C6" s="6" t="n">
        <f aca="false">Fréquentation!G17</f>
        <v>8238</v>
      </c>
      <c r="D6" s="6" t="n">
        <f aca="false">Fréquentation!G25</f>
        <v>8134</v>
      </c>
      <c r="E6" s="6" t="n">
        <f aca="false">Fréquentation!G33</f>
        <v>8074</v>
      </c>
      <c r="F6" s="6" t="n">
        <f aca="false">Fréquentation!G41</f>
        <v>7720</v>
      </c>
      <c r="G6" s="6" t="n">
        <f aca="false">Fréquentation!G49</f>
        <v>8141</v>
      </c>
      <c r="H6" s="6" t="n">
        <f aca="false">Fréquentation!G57</f>
        <v>6845</v>
      </c>
      <c r="I6" s="6" t="n">
        <f aca="false">Fréquentation!G65</f>
        <v>5464</v>
      </c>
      <c r="J6" s="6" t="n">
        <f aca="false">Fréquentation!G73</f>
        <v>6237</v>
      </c>
      <c r="K6" s="6" t="n">
        <f aca="false">Fréquentation!G81</f>
        <v>6118</v>
      </c>
      <c r="L6" s="6" t="n">
        <f aca="false">Fréquentation!G89</f>
        <v>5739</v>
      </c>
      <c r="M6" s="6" t="n">
        <f aca="false">Fréquentation!G97</f>
        <v>4990</v>
      </c>
      <c r="N6" s="7" t="n">
        <f aca="false">SUM(B6:M6)</f>
        <v>83724</v>
      </c>
      <c r="O6" s="8" t="n">
        <f aca="false">IF(B6&lt;&gt;0,(M6-B6)/B6,0)</f>
        <v>-0.378115653040877</v>
      </c>
    </row>
    <row r="7" customFormat="false" ht="18" hidden="false" customHeight="true" outlineLevel="0" collapsed="false">
      <c r="A7" s="5" t="s">
        <v>19</v>
      </c>
      <c r="B7" s="6" t="n">
        <f aca="false">Fréquentation!B9</f>
        <v>3393</v>
      </c>
      <c r="C7" s="6" t="n">
        <f aca="false">Fréquentation!B17</f>
        <v>3292</v>
      </c>
      <c r="D7" s="6" t="n">
        <f aca="false">Fréquentation!B25</f>
        <v>3379</v>
      </c>
      <c r="E7" s="6" t="n">
        <f aca="false">Fréquentation!B33</f>
        <v>3225</v>
      </c>
      <c r="F7" s="6" t="n">
        <f aca="false">Fréquentation!B41</f>
        <v>3098</v>
      </c>
      <c r="G7" s="6" t="n">
        <f aca="false">Fréquentation!B49</f>
        <v>3317</v>
      </c>
      <c r="H7" s="6" t="n">
        <f aca="false">Fréquentation!B57</f>
        <v>2730</v>
      </c>
      <c r="I7" s="6" t="n">
        <f aca="false">Fréquentation!B65</f>
        <v>2248</v>
      </c>
      <c r="J7" s="6" t="n">
        <f aca="false">Fréquentation!B73</f>
        <v>2718</v>
      </c>
      <c r="K7" s="6" t="n">
        <f aca="false">Fréquentation!B81</f>
        <v>2589</v>
      </c>
      <c r="L7" s="6" t="n">
        <f aca="false">Fréquentation!B89</f>
        <v>2408</v>
      </c>
      <c r="M7" s="6" t="n">
        <f aca="false">Fréquentation!B97</f>
        <v>2016</v>
      </c>
      <c r="N7" s="7" t="n">
        <f aca="false">SUM(B7:M7)</f>
        <v>34413</v>
      </c>
      <c r="O7" s="8" t="n">
        <f aca="false">IF(B7&lt;&gt;0,(M7-B7)/B7,0)</f>
        <v>-0.405835543766578</v>
      </c>
    </row>
    <row r="8" customFormat="false" ht="18" hidden="false" customHeight="true" outlineLevel="0" collapsed="false">
      <c r="A8" s="5" t="s">
        <v>20</v>
      </c>
      <c r="B8" s="6" t="n">
        <f aca="false">Fréquentation!C9</f>
        <v>1403</v>
      </c>
      <c r="C8" s="6" t="n">
        <f aca="false">Fréquentation!C17</f>
        <v>1675</v>
      </c>
      <c r="D8" s="6" t="n">
        <f aca="false">Fréquentation!C25</f>
        <v>1369</v>
      </c>
      <c r="E8" s="6" t="n">
        <f aca="false">Fréquentation!C33</f>
        <v>1612</v>
      </c>
      <c r="F8" s="6" t="n">
        <f aca="false">Fréquentation!C41</f>
        <v>1341</v>
      </c>
      <c r="G8" s="6" t="n">
        <f aca="false">Fréquentation!C49</f>
        <v>1429</v>
      </c>
      <c r="H8" s="6" t="n">
        <f aca="false">Fréquentation!C57</f>
        <v>1681</v>
      </c>
      <c r="I8" s="6" t="n">
        <f aca="false">Fréquentation!C65</f>
        <v>1353</v>
      </c>
      <c r="J8" s="6" t="n">
        <f aca="false">Fréquentation!C73</f>
        <v>843</v>
      </c>
      <c r="K8" s="6" t="n">
        <f aca="false">Fréquentation!C81</f>
        <v>960</v>
      </c>
      <c r="L8" s="6" t="n">
        <f aca="false">Fréquentation!C89</f>
        <v>774</v>
      </c>
      <c r="M8" s="6" t="n">
        <f aca="false">Fréquentation!C97</f>
        <v>851</v>
      </c>
      <c r="N8" s="7" t="n">
        <f aca="false">SUM(B8:M8)</f>
        <v>15291</v>
      </c>
      <c r="O8" s="8" t="n">
        <f aca="false">IF(B8&lt;&gt;0,(M8-B8)/B8,0)</f>
        <v>-0.39344262295082</v>
      </c>
    </row>
    <row r="9" customFormat="false" ht="18" hidden="false" customHeight="true" outlineLevel="0" collapsed="false">
      <c r="A9" s="5" t="s">
        <v>21</v>
      </c>
      <c r="B9" s="6" t="n">
        <f aca="false">Fréquentation!D9</f>
        <v>777</v>
      </c>
      <c r="C9" s="6" t="n">
        <f aca="false">Fréquentation!D17</f>
        <v>689</v>
      </c>
      <c r="D9" s="6" t="n">
        <f aca="false">Fréquentation!D25</f>
        <v>803</v>
      </c>
      <c r="E9" s="6" t="n">
        <f aca="false">Fréquentation!D33</f>
        <v>637</v>
      </c>
      <c r="F9" s="6" t="n">
        <f aca="false">Fréquentation!D41</f>
        <v>728</v>
      </c>
      <c r="G9" s="6" t="n">
        <f aca="false">Fréquentation!D49</f>
        <v>779</v>
      </c>
      <c r="H9" s="6" t="n">
        <f aca="false">Fréquentation!D57</f>
        <v>172</v>
      </c>
      <c r="I9" s="6" t="n">
        <f aca="false">Fréquentation!D65</f>
        <v>0</v>
      </c>
      <c r="J9" s="6" t="n">
        <f aca="false">Fréquentation!D73</f>
        <v>674</v>
      </c>
      <c r="K9" s="6" t="n">
        <f aca="false">Fréquentation!D81</f>
        <v>642</v>
      </c>
      <c r="L9" s="6" t="n">
        <f aca="false">Fréquentation!D89</f>
        <v>793</v>
      </c>
      <c r="M9" s="6" t="n">
        <f aca="false">Fréquentation!D97</f>
        <v>574</v>
      </c>
      <c r="N9" s="7" t="n">
        <f aca="false">SUM(B9:M9)</f>
        <v>7268</v>
      </c>
      <c r="O9" s="8" t="n">
        <f aca="false">IF(B9&lt;&gt;0,(M9-B9)/B9,0)</f>
        <v>-0.261261261261261</v>
      </c>
    </row>
    <row r="10" customFormat="false" ht="18" hidden="false" customHeight="true" outlineLevel="0" collapsed="false">
      <c r="A10" s="5" t="s">
        <v>22</v>
      </c>
      <c r="B10" s="6" t="n">
        <f aca="false">Fréquentation!E9</f>
        <v>1979</v>
      </c>
      <c r="C10" s="6" t="n">
        <f aca="false">Fréquentation!E17</f>
        <v>2030</v>
      </c>
      <c r="D10" s="6" t="n">
        <f aca="false">Fréquentation!E25</f>
        <v>2054</v>
      </c>
      <c r="E10" s="6" t="n">
        <f aca="false">Fréquentation!E33</f>
        <v>2045</v>
      </c>
      <c r="F10" s="6" t="n">
        <f aca="false">Fréquentation!E41</f>
        <v>1994</v>
      </c>
      <c r="G10" s="6" t="n">
        <f aca="false">Fréquentation!E49</f>
        <v>2019</v>
      </c>
      <c r="H10" s="6" t="n">
        <f aca="false">Fréquentation!E57</f>
        <v>1656</v>
      </c>
      <c r="I10" s="6" t="n">
        <f aca="false">Fréquentation!E65</f>
        <v>1358</v>
      </c>
      <c r="J10" s="6" t="n">
        <f aca="false">Fréquentation!E73</f>
        <v>1664</v>
      </c>
      <c r="K10" s="6" t="n">
        <f aca="false">Fréquentation!E81</f>
        <v>1570</v>
      </c>
      <c r="L10" s="6" t="n">
        <f aca="false">Fréquentation!E89</f>
        <v>1457</v>
      </c>
      <c r="M10" s="6" t="n">
        <f aca="false">Fréquentation!E97</f>
        <v>1218</v>
      </c>
      <c r="N10" s="7" t="n">
        <f aca="false">SUM(B10:M10)</f>
        <v>21044</v>
      </c>
      <c r="O10" s="8" t="n">
        <f aca="false">IF(B10&lt;&gt;0,(M10-B10)/B10,0)</f>
        <v>-0.384537645275392</v>
      </c>
    </row>
    <row r="11" customFormat="false" ht="18" hidden="false" customHeight="true" outlineLevel="0" collapsed="false">
      <c r="A11" s="5" t="s">
        <v>23</v>
      </c>
      <c r="B11" s="6" t="n">
        <f aca="false">Fréquentation!F9</f>
        <v>472</v>
      </c>
      <c r="C11" s="6" t="n">
        <f aca="false">Fréquentation!F17</f>
        <v>552</v>
      </c>
      <c r="D11" s="6" t="n">
        <f aca="false">Fréquentation!F25</f>
        <v>529</v>
      </c>
      <c r="E11" s="6" t="n">
        <f aca="false">Fréquentation!F33</f>
        <v>555</v>
      </c>
      <c r="F11" s="6" t="n">
        <f aca="false">Fréquentation!F41</f>
        <v>559</v>
      </c>
      <c r="G11" s="6" t="n">
        <f aca="false">Fréquentation!F49</f>
        <v>597</v>
      </c>
      <c r="H11" s="6" t="n">
        <f aca="false">Fréquentation!F57</f>
        <v>606</v>
      </c>
      <c r="I11" s="6" t="n">
        <f aca="false">Fréquentation!F65</f>
        <v>505</v>
      </c>
      <c r="J11" s="6" t="n">
        <f aca="false">Fréquentation!F73</f>
        <v>338</v>
      </c>
      <c r="K11" s="6" t="n">
        <f aca="false">Fréquentation!F81</f>
        <v>357</v>
      </c>
      <c r="L11" s="6" t="n">
        <f aca="false">Fréquentation!F89</f>
        <v>307</v>
      </c>
      <c r="M11" s="6" t="n">
        <f aca="false">Fréquentation!F97</f>
        <v>331</v>
      </c>
      <c r="N11" s="7" t="n">
        <f aca="false">SUM(B11:M11)</f>
        <v>5708</v>
      </c>
      <c r="O11" s="8" t="n">
        <f aca="false">IF(B11&lt;&gt;0,(M11-B11)/B11,0)</f>
        <v>-0.298728813559322</v>
      </c>
    </row>
    <row r="12" customFormat="false" ht="18" hidden="false" customHeight="true" outlineLevel="0" collapsed="false">
      <c r="A12" s="5" t="s">
        <v>24</v>
      </c>
      <c r="B12" s="6" t="n">
        <v>548</v>
      </c>
      <c r="C12" s="6" t="n">
        <v>552</v>
      </c>
      <c r="D12" s="6" t="n">
        <v>559</v>
      </c>
      <c r="E12" s="6" t="n">
        <v>563</v>
      </c>
      <c r="F12" s="6" t="n">
        <v>566</v>
      </c>
      <c r="G12" s="6" t="n">
        <v>570</v>
      </c>
      <c r="H12" s="6" t="n">
        <v>561</v>
      </c>
      <c r="I12" s="6" t="n">
        <v>540</v>
      </c>
      <c r="J12" s="6" t="n">
        <v>512</v>
      </c>
      <c r="K12" s="6" t="n">
        <v>489</v>
      </c>
      <c r="L12" s="6" t="n">
        <v>461</v>
      </c>
      <c r="M12" s="6" t="n">
        <v>437</v>
      </c>
      <c r="N12" s="7" t="n">
        <f aca="false">AVERAGE(B12:M12)</f>
        <v>529.833333333333</v>
      </c>
      <c r="O12" s="8" t="n">
        <f aca="false">IF(B12&lt;&gt;0,(M12-B12)/B12,0)</f>
        <v>-0.202554744525547</v>
      </c>
    </row>
    <row r="13" customFormat="false" ht="18" hidden="false" customHeight="true" outlineLevel="0" collapsed="false">
      <c r="A13" s="5" t="s">
        <v>25</v>
      </c>
      <c r="B13" s="9" t="n">
        <f aca="false">Fréquentation!H9</f>
        <v>0.7435</v>
      </c>
      <c r="C13" s="9" t="n">
        <f aca="false">Fréquentation!H17</f>
        <v>0.75825</v>
      </c>
      <c r="D13" s="9" t="n">
        <f aca="false">Fréquentation!H25</f>
        <v>0.75175</v>
      </c>
      <c r="E13" s="9" t="n">
        <f aca="false">Fréquentation!H33</f>
        <v>0.74975</v>
      </c>
      <c r="F13" s="9" t="n">
        <f aca="false">Fréquentation!H41</f>
        <v>0.7135</v>
      </c>
      <c r="G13" s="9" t="n">
        <f aca="false">Fréquentation!H49</f>
        <v>0.75325</v>
      </c>
      <c r="H13" s="9" t="n">
        <f aca="false">Fréquentation!H57</f>
        <v>0.634</v>
      </c>
      <c r="I13" s="9" t="n">
        <f aca="false">Fréquentation!H65</f>
        <v>0.505</v>
      </c>
      <c r="J13" s="9" t="n">
        <f aca="false">Fréquentation!H73</f>
        <v>0.577</v>
      </c>
      <c r="K13" s="9" t="n">
        <f aca="false">Fréquentation!H81</f>
        <v>0.56675</v>
      </c>
      <c r="L13" s="9" t="n">
        <f aca="false">Fréquentation!H89</f>
        <v>0.533</v>
      </c>
      <c r="M13" s="9" t="n">
        <f aca="false">Fréquentation!H97</f>
        <v>0.464</v>
      </c>
      <c r="N13" s="8" t="n">
        <f aca="false">AVERAGE(B13:M13)</f>
        <v>0.6458125</v>
      </c>
      <c r="O13" s="8" t="n">
        <f aca="false">IF(B13&lt;&gt;0,(M13-B13)/B13,0)</f>
        <v>-0.375924680564896</v>
      </c>
    </row>
    <row r="14" customFormat="false" ht="18" hidden="false" customHeight="true" outlineLevel="0" collapsed="false">
      <c r="A14" s="5" t="s">
        <v>26</v>
      </c>
      <c r="B14" s="6" t="n">
        <v>8030</v>
      </c>
      <c r="C14" s="6" t="n">
        <v>7850</v>
      </c>
      <c r="D14" s="6" t="n">
        <v>7890</v>
      </c>
      <c r="E14" s="6" t="n">
        <v>8060</v>
      </c>
      <c r="F14" s="6" t="n">
        <v>7530</v>
      </c>
      <c r="G14" s="6" t="n">
        <v>8080</v>
      </c>
      <c r="H14" s="6" t="n">
        <v>7510</v>
      </c>
      <c r="I14" s="6" t="n">
        <v>6800</v>
      </c>
      <c r="J14" s="6" t="n">
        <v>7640</v>
      </c>
      <c r="K14" s="6" t="n">
        <v>8010</v>
      </c>
      <c r="L14" s="6" t="n">
        <v>7630</v>
      </c>
      <c r="M14" s="6" t="n">
        <v>7280</v>
      </c>
      <c r="N14" s="7" t="n">
        <f aca="false">SUM(B14:M14)</f>
        <v>92310</v>
      </c>
      <c r="O14" s="8" t="n">
        <f aca="false">IF(B14&lt;&gt;0,(M14-B14)/B14,0)</f>
        <v>-0.0933997509339975</v>
      </c>
    </row>
    <row r="15" customFormat="false" ht="18" hidden="false" customHeight="true" outlineLevel="0" collapsed="false">
      <c r="A15" s="5" t="s">
        <v>27</v>
      </c>
      <c r="B15" s="9" t="n">
        <f aca="false">IF(B14&lt;&gt;0,(B6-B14)/B14,0)</f>
        <v>-0.00074719800747198</v>
      </c>
      <c r="C15" s="9" t="n">
        <f aca="false">IF(C14&lt;&gt;0,(C6-C14)/C14,0)</f>
        <v>0.0494267515923567</v>
      </c>
      <c r="D15" s="9" t="n">
        <f aca="false">IF(D14&lt;&gt;0,(D6-D14)/D14,0)</f>
        <v>0.0309252217997465</v>
      </c>
      <c r="E15" s="9" t="n">
        <f aca="false">IF(E14&lt;&gt;0,(E6-E14)/E14,0)</f>
        <v>0.00173697270471464</v>
      </c>
      <c r="F15" s="9" t="n">
        <f aca="false">IF(F14&lt;&gt;0,(F6-F14)/F14,0)</f>
        <v>0.0252324037184595</v>
      </c>
      <c r="G15" s="9" t="n">
        <f aca="false">IF(G14&lt;&gt;0,(G6-G14)/G14,0)</f>
        <v>0.00754950495049505</v>
      </c>
      <c r="H15" s="9" t="n">
        <f aca="false">IF(H14&lt;&gt;0,(H6-H14)/H14,0)</f>
        <v>-0.0885486018641811</v>
      </c>
      <c r="I15" s="9" t="n">
        <f aca="false">IF(I14&lt;&gt;0,(I6-I14)/I14,0)</f>
        <v>-0.196470588235294</v>
      </c>
      <c r="J15" s="9" t="n">
        <f aca="false">IF(J14&lt;&gt;0,(J6-J14)/J14,0)</f>
        <v>-0.183638743455497</v>
      </c>
      <c r="K15" s="9" t="n">
        <f aca="false">IF(K14&lt;&gt;0,(K6-K14)/K14,0)</f>
        <v>-0.236204744069913</v>
      </c>
      <c r="L15" s="9" t="n">
        <f aca="false">IF(L14&lt;&gt;0,(L6-L14)/L14,0)</f>
        <v>-0.2478374836173</v>
      </c>
      <c r="M15" s="9" t="n">
        <f aca="false">IF(M14&lt;&gt;0,(M6-M14)/M14,0)</f>
        <v>-0.31456043956044</v>
      </c>
      <c r="N15" s="8" t="n">
        <f aca="false">IF(N14&lt;&gt;0,(N6-N14)/N14,0)</f>
        <v>-0.0930126746831329</v>
      </c>
      <c r="O15" s="8" t="s">
        <v>28</v>
      </c>
    </row>
    <row r="16" customFormat="false" ht="18" hidden="false" customHeight="true" outlineLevel="0" collapsed="false">
      <c r="A16" s="5" t="s">
        <v>29</v>
      </c>
      <c r="B16" s="6" t="n">
        <v>3</v>
      </c>
      <c r="C16" s="6" t="n">
        <v>2</v>
      </c>
      <c r="D16" s="6" t="n">
        <v>4</v>
      </c>
      <c r="E16" s="6" t="n">
        <v>3</v>
      </c>
      <c r="F16" s="6" t="n">
        <v>2</v>
      </c>
      <c r="G16" s="6" t="n">
        <v>3</v>
      </c>
      <c r="H16" s="6" t="n">
        <v>14</v>
      </c>
      <c r="I16" s="6" t="n">
        <v>19</v>
      </c>
      <c r="J16" s="6" t="n">
        <v>26</v>
      </c>
      <c r="K16" s="6" t="n">
        <v>23</v>
      </c>
      <c r="L16" s="6" t="n">
        <v>27</v>
      </c>
      <c r="M16" s="6" t="n">
        <v>22</v>
      </c>
      <c r="N16" s="7" t="n">
        <f aca="false">SUM(B16:M16)</f>
        <v>148</v>
      </c>
      <c r="O16" s="8" t="n">
        <f aca="false">IF(B16&lt;&gt;0,(M16-B16)/B16,0)</f>
        <v>6.33333333333333</v>
      </c>
    </row>
    <row r="18" customFormat="false" ht="21.75" hidden="false" customHeight="true" outlineLevel="0" collapsed="false">
      <c r="A18" s="3" t="s">
        <v>30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21.75" hidden="false" customHeight="true" outlineLevel="0" collapsed="false">
      <c r="A19" s="4" t="s">
        <v>3</v>
      </c>
      <c r="B19" s="4" t="s">
        <v>4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9</v>
      </c>
      <c r="H19" s="4" t="s">
        <v>10</v>
      </c>
      <c r="I19" s="4" t="s">
        <v>11</v>
      </c>
      <c r="J19" s="4" t="s">
        <v>12</v>
      </c>
      <c r="K19" s="4" t="s">
        <v>13</v>
      </c>
      <c r="L19" s="4" t="s">
        <v>14</v>
      </c>
      <c r="M19" s="4" t="s">
        <v>15</v>
      </c>
      <c r="N19" s="4" t="s">
        <v>16</v>
      </c>
      <c r="O19" s="4" t="s">
        <v>17</v>
      </c>
    </row>
    <row r="20" customFormat="false" ht="18" hidden="false" customHeight="true" outlineLevel="0" collapsed="false">
      <c r="A20" s="5" t="s">
        <v>31</v>
      </c>
      <c r="B20" s="10" t="n">
        <f aca="false">Finances!C5</f>
        <v>31610</v>
      </c>
      <c r="C20" s="10" t="n">
        <f aca="false">Finances!D5</f>
        <v>32300</v>
      </c>
      <c r="D20" s="10" t="n">
        <f aca="false">Finances!E5</f>
        <v>31730</v>
      </c>
      <c r="E20" s="10" t="n">
        <f aca="false">Finances!F5</f>
        <v>31490</v>
      </c>
      <c r="F20" s="10" t="n">
        <f aca="false">Finances!G5</f>
        <v>29810</v>
      </c>
      <c r="G20" s="10" t="n">
        <f aca="false">Finances!H5</f>
        <v>31880</v>
      </c>
      <c r="H20" s="10" t="n">
        <f aca="false">Finances!I5</f>
        <v>27670</v>
      </c>
      <c r="I20" s="10" t="n">
        <f aca="false">Finances!J5</f>
        <v>22280</v>
      </c>
      <c r="J20" s="10" t="n">
        <f aca="false">Finances!K5</f>
        <v>24050</v>
      </c>
      <c r="K20" s="10" t="n">
        <f aca="false">Finances!L5</f>
        <v>23760</v>
      </c>
      <c r="L20" s="10" t="n">
        <f aca="false">Finances!M5</f>
        <v>22010</v>
      </c>
      <c r="M20" s="10" t="n">
        <f aca="false">Finances!N5</f>
        <v>19420</v>
      </c>
      <c r="N20" s="11" t="n">
        <f aca="false">SUM(B20:M20)</f>
        <v>328010</v>
      </c>
      <c r="O20" s="8" t="n">
        <f aca="false">IF(B20&lt;&gt;0,(M20-B20)/B20,0)</f>
        <v>-0.385637456501107</v>
      </c>
    </row>
    <row r="21" customFormat="false" ht="18" hidden="false" customHeight="true" outlineLevel="0" collapsed="false">
      <c r="A21" s="5" t="s">
        <v>32</v>
      </c>
      <c r="B21" s="10" t="n">
        <f aca="false">Finances!C6</f>
        <v>26852</v>
      </c>
      <c r="C21" s="10" t="n">
        <f aca="false">Finances!D6</f>
        <v>27048</v>
      </c>
      <c r="D21" s="10" t="n">
        <f aca="false">Finances!E6</f>
        <v>27391</v>
      </c>
      <c r="E21" s="10" t="n">
        <f aca="false">Finances!F6</f>
        <v>27587</v>
      </c>
      <c r="F21" s="10" t="n">
        <f aca="false">Finances!G6</f>
        <v>27734</v>
      </c>
      <c r="G21" s="10" t="n">
        <f aca="false">Finances!H6</f>
        <v>27930</v>
      </c>
      <c r="H21" s="10" t="n">
        <f aca="false">Finances!I6</f>
        <v>27489</v>
      </c>
      <c r="I21" s="10" t="n">
        <f aca="false">Finances!J6</f>
        <v>26460</v>
      </c>
      <c r="J21" s="10" t="n">
        <f aca="false">Finances!K6</f>
        <v>25088</v>
      </c>
      <c r="K21" s="10" t="n">
        <f aca="false">Finances!L6</f>
        <v>23961</v>
      </c>
      <c r="L21" s="10" t="n">
        <f aca="false">Finances!M6</f>
        <v>22589</v>
      </c>
      <c r="M21" s="10" t="n">
        <f aca="false">Finances!N6</f>
        <v>21413</v>
      </c>
      <c r="N21" s="11" t="n">
        <f aca="false">SUM(B21:M21)</f>
        <v>311542</v>
      </c>
      <c r="O21" s="8" t="n">
        <f aca="false">IF(B21&lt;&gt;0,(M21-B21)/B21,0)</f>
        <v>-0.202554744525547</v>
      </c>
    </row>
    <row r="22" customFormat="false" ht="18" hidden="false" customHeight="true" outlineLevel="0" collapsed="false">
      <c r="A22" s="5" t="s">
        <v>33</v>
      </c>
      <c r="B22" s="10" t="n">
        <f aca="false">Finances!C7</f>
        <v>10450</v>
      </c>
      <c r="C22" s="10" t="n">
        <f aca="false">Finances!D7</f>
        <v>10610</v>
      </c>
      <c r="D22" s="10" t="n">
        <f aca="false">Finances!E7</f>
        <v>10740</v>
      </c>
      <c r="E22" s="10" t="n">
        <f aca="false">Finances!F7</f>
        <v>10160</v>
      </c>
      <c r="F22" s="10" t="n">
        <f aca="false">Finances!G7</f>
        <v>10330</v>
      </c>
      <c r="G22" s="10" t="n">
        <f aca="false">Finances!H7</f>
        <v>9450</v>
      </c>
      <c r="H22" s="10" t="n">
        <f aca="false">Finances!I7</f>
        <v>4360</v>
      </c>
      <c r="I22" s="10" t="n">
        <f aca="false">Finances!J7</f>
        <v>2670</v>
      </c>
      <c r="J22" s="10" t="n">
        <f aca="false">Finances!K7</f>
        <v>6360</v>
      </c>
      <c r="K22" s="10" t="n">
        <f aca="false">Finances!L7</f>
        <v>6440</v>
      </c>
      <c r="L22" s="10" t="n">
        <f aca="false">Finances!M7</f>
        <v>5580</v>
      </c>
      <c r="M22" s="10" t="n">
        <f aca="false">Finances!N7</f>
        <v>4340</v>
      </c>
      <c r="N22" s="11" t="n">
        <f aca="false">SUM(B22:M22)</f>
        <v>91490</v>
      </c>
      <c r="O22" s="8" t="n">
        <f aca="false">IF(B22&lt;&gt;0,(M22-B22)/B22,0)</f>
        <v>-0.584688995215311</v>
      </c>
    </row>
    <row r="23" customFormat="false" ht="18" hidden="false" customHeight="true" outlineLevel="0" collapsed="false">
      <c r="A23" s="5" t="s">
        <v>34</v>
      </c>
      <c r="B23" s="10" t="n">
        <f aca="false">Finances!C8</f>
        <v>1770</v>
      </c>
      <c r="C23" s="10" t="n">
        <f aca="false">Finances!D8</f>
        <v>1810</v>
      </c>
      <c r="D23" s="10" t="n">
        <f aca="false">Finances!E8</f>
        <v>1790</v>
      </c>
      <c r="E23" s="10" t="n">
        <f aca="false">Finances!F8</f>
        <v>1780</v>
      </c>
      <c r="F23" s="10" t="n">
        <f aca="false">Finances!G8</f>
        <v>1700</v>
      </c>
      <c r="G23" s="10" t="n">
        <f aca="false">Finances!H8</f>
        <v>1790</v>
      </c>
      <c r="H23" s="10" t="n">
        <f aca="false">Finances!I8</f>
        <v>1510</v>
      </c>
      <c r="I23" s="10" t="n">
        <f aca="false">Finances!J8</f>
        <v>1200</v>
      </c>
      <c r="J23" s="10" t="n">
        <f aca="false">Finances!K8</f>
        <v>1370</v>
      </c>
      <c r="K23" s="10" t="n">
        <f aca="false">Finances!L8</f>
        <v>1350</v>
      </c>
      <c r="L23" s="10" t="n">
        <f aca="false">Finances!M8</f>
        <v>1260</v>
      </c>
      <c r="M23" s="10" t="n">
        <f aca="false">Finances!N8</f>
        <v>1100</v>
      </c>
      <c r="N23" s="11" t="n">
        <f aca="false">SUM(B23:M23)</f>
        <v>18430</v>
      </c>
      <c r="O23" s="8" t="n">
        <f aca="false">IF(B23&lt;&gt;0,(M23-B23)/B23,0)</f>
        <v>-0.378531073446328</v>
      </c>
    </row>
    <row r="24" customFormat="false" ht="18" hidden="false" customHeight="true" outlineLevel="0" collapsed="false">
      <c r="A24" s="5" t="s">
        <v>35</v>
      </c>
      <c r="B24" s="10" t="n">
        <f aca="false">Finances!C9</f>
        <v>3050</v>
      </c>
      <c r="C24" s="10" t="n">
        <f aca="false">Finances!D9</f>
        <v>3130</v>
      </c>
      <c r="D24" s="10" t="n">
        <f aca="false">Finances!E9</f>
        <v>3090</v>
      </c>
      <c r="E24" s="10" t="n">
        <f aca="false">Finances!F9</f>
        <v>3070</v>
      </c>
      <c r="F24" s="10" t="n">
        <f aca="false">Finances!G9</f>
        <v>2930</v>
      </c>
      <c r="G24" s="10" t="n">
        <f aca="false">Finances!H9</f>
        <v>3090</v>
      </c>
      <c r="H24" s="10" t="n">
        <f aca="false">Finances!I9</f>
        <v>2600</v>
      </c>
      <c r="I24" s="10" t="n">
        <f aca="false">Finances!J9</f>
        <v>2080</v>
      </c>
      <c r="J24" s="10" t="n">
        <f aca="false">Finances!K9</f>
        <v>2370</v>
      </c>
      <c r="K24" s="10" t="n">
        <f aca="false">Finances!L9</f>
        <v>2320</v>
      </c>
      <c r="L24" s="10" t="n">
        <f aca="false">Finances!M9</f>
        <v>2180</v>
      </c>
      <c r="M24" s="10" t="n">
        <f aca="false">Finances!N9</f>
        <v>1900</v>
      </c>
      <c r="N24" s="11" t="n">
        <f aca="false">SUM(B24:M24)</f>
        <v>31810</v>
      </c>
      <c r="O24" s="8" t="n">
        <f aca="false">IF(B24&lt;&gt;0,(M24-B24)/B24,0)</f>
        <v>-0.377049180327869</v>
      </c>
    </row>
    <row r="25" customFormat="false" ht="18" hidden="false" customHeight="true" outlineLevel="0" collapsed="false">
      <c r="A25" s="5" t="s">
        <v>36</v>
      </c>
      <c r="B25" s="10" t="n">
        <f aca="false">Finances!C10</f>
        <v>1000</v>
      </c>
      <c r="C25" s="10" t="n">
        <f aca="false">Finances!D10</f>
        <v>1100</v>
      </c>
      <c r="D25" s="10" t="n">
        <f aca="false">Finances!E10</f>
        <v>1300</v>
      </c>
      <c r="E25" s="10" t="n">
        <f aca="false">Finances!F10</f>
        <v>1140</v>
      </c>
      <c r="F25" s="10" t="n">
        <f aca="false">Finances!G10</f>
        <v>1340</v>
      </c>
      <c r="G25" s="10" t="n">
        <f aca="false">Finances!H10</f>
        <v>1340</v>
      </c>
      <c r="H25" s="10" t="n">
        <f aca="false">Finances!I10</f>
        <v>1110</v>
      </c>
      <c r="I25" s="10" t="n">
        <f aca="false">Finances!J10</f>
        <v>1000</v>
      </c>
      <c r="J25" s="10" t="n">
        <f aca="false">Finances!K10</f>
        <v>1270</v>
      </c>
      <c r="K25" s="10" t="n">
        <f aca="false">Finances!L10</f>
        <v>1340</v>
      </c>
      <c r="L25" s="10" t="n">
        <f aca="false">Finances!M10</f>
        <v>970</v>
      </c>
      <c r="M25" s="10" t="n">
        <f aca="false">Finances!N10</f>
        <v>1020</v>
      </c>
      <c r="N25" s="11" t="n">
        <f aca="false">SUM(B25:M25)</f>
        <v>13930</v>
      </c>
      <c r="O25" s="8" t="n">
        <f aca="false">IF(B25&lt;&gt;0,(M25-B25)/B25,0)</f>
        <v>0.02</v>
      </c>
    </row>
    <row r="26" customFormat="false" ht="18" hidden="false" customHeight="true" outlineLevel="0" collapsed="false">
      <c r="A26" s="12" t="s">
        <v>37</v>
      </c>
      <c r="B26" s="11" t="n">
        <f aca="false">SUM(B20:B25)</f>
        <v>74732</v>
      </c>
      <c r="C26" s="11" t="n">
        <f aca="false">SUM(C20:C25)</f>
        <v>75998</v>
      </c>
      <c r="D26" s="11" t="n">
        <f aca="false">SUM(D20:D25)</f>
        <v>76041</v>
      </c>
      <c r="E26" s="11" t="n">
        <f aca="false">SUM(E20:E25)</f>
        <v>75227</v>
      </c>
      <c r="F26" s="11" t="n">
        <f aca="false">SUM(F20:F25)</f>
        <v>73844</v>
      </c>
      <c r="G26" s="11" t="n">
        <f aca="false">SUM(G20:G25)</f>
        <v>75480</v>
      </c>
      <c r="H26" s="11" t="n">
        <f aca="false">SUM(H20:H25)</f>
        <v>64739</v>
      </c>
      <c r="I26" s="11" t="n">
        <f aca="false">SUM(I20:I25)</f>
        <v>55690</v>
      </c>
      <c r="J26" s="11" t="n">
        <f aca="false">SUM(J20:J25)</f>
        <v>60508</v>
      </c>
      <c r="K26" s="11" t="n">
        <f aca="false">SUM(K20:K25)</f>
        <v>59171</v>
      </c>
      <c r="L26" s="11" t="n">
        <f aca="false">SUM(L20:L25)</f>
        <v>54589</v>
      </c>
      <c r="M26" s="11" t="n">
        <f aca="false">SUM(M20:M25)</f>
        <v>49193</v>
      </c>
      <c r="N26" s="11" t="n">
        <f aca="false">SUM(B26:M26)</f>
        <v>795212</v>
      </c>
      <c r="O26" s="8" t="n">
        <f aca="false">IF(B26&lt;&gt;0,(M26-B26)/B26,0)</f>
        <v>-0.34174115506075</v>
      </c>
    </row>
    <row r="27" customFormat="false" ht="18" hidden="false" customHeight="true" outlineLevel="0" collapsed="false">
      <c r="A27" s="5" t="s">
        <v>38</v>
      </c>
      <c r="B27" s="10" t="n">
        <f aca="false">Finances!C15</f>
        <v>36800</v>
      </c>
      <c r="C27" s="10" t="n">
        <f aca="false">Finances!D15</f>
        <v>36800</v>
      </c>
      <c r="D27" s="10" t="n">
        <f aca="false">Finances!E15</f>
        <v>36800</v>
      </c>
      <c r="E27" s="10" t="n">
        <f aca="false">Finances!F15</f>
        <v>36800</v>
      </c>
      <c r="F27" s="10" t="n">
        <f aca="false">Finances!G15</f>
        <v>36800</v>
      </c>
      <c r="G27" s="10" t="n">
        <f aca="false">Finances!H15</f>
        <v>36800</v>
      </c>
      <c r="H27" s="10" t="n">
        <f aca="false">Finances!I15</f>
        <v>39800</v>
      </c>
      <c r="I27" s="10" t="n">
        <f aca="false">Finances!J15</f>
        <v>39800</v>
      </c>
      <c r="J27" s="10" t="n">
        <f aca="false">Finances!K15</f>
        <v>36800</v>
      </c>
      <c r="K27" s="10" t="n">
        <f aca="false">Finances!L15</f>
        <v>36800</v>
      </c>
      <c r="L27" s="10" t="n">
        <f aca="false">Finances!M15</f>
        <v>36800</v>
      </c>
      <c r="M27" s="10" t="n">
        <f aca="false">Finances!N15</f>
        <v>36800</v>
      </c>
      <c r="N27" s="11" t="n">
        <f aca="false">SUM(B27:M27)</f>
        <v>447600</v>
      </c>
      <c r="O27" s="8" t="n">
        <f aca="false">IF(B27&lt;&gt;0,(M27-B27)/B27,0)</f>
        <v>0</v>
      </c>
    </row>
    <row r="28" customFormat="false" ht="18" hidden="false" customHeight="true" outlineLevel="0" collapsed="false">
      <c r="A28" s="5" t="s">
        <v>39</v>
      </c>
      <c r="B28" s="10" t="n">
        <f aca="false">Finances!C16</f>
        <v>18400</v>
      </c>
      <c r="C28" s="10" t="n">
        <f aca="false">Finances!D16</f>
        <v>18400</v>
      </c>
      <c r="D28" s="10" t="n">
        <f aca="false">Finances!E16</f>
        <v>18400</v>
      </c>
      <c r="E28" s="10" t="n">
        <f aca="false">Finances!F16</f>
        <v>18400</v>
      </c>
      <c r="F28" s="10" t="n">
        <f aca="false">Finances!G16</f>
        <v>18400</v>
      </c>
      <c r="G28" s="10" t="n">
        <f aca="false">Finances!H16</f>
        <v>18400</v>
      </c>
      <c r="H28" s="10" t="n">
        <f aca="false">Finances!I16</f>
        <v>19900</v>
      </c>
      <c r="I28" s="10" t="n">
        <f aca="false">Finances!J16</f>
        <v>19900</v>
      </c>
      <c r="J28" s="10" t="n">
        <f aca="false">Finances!K16</f>
        <v>18400</v>
      </c>
      <c r="K28" s="10" t="n">
        <f aca="false">Finances!L16</f>
        <v>18400</v>
      </c>
      <c r="L28" s="10" t="n">
        <f aca="false">Finances!M16</f>
        <v>18400</v>
      </c>
      <c r="M28" s="10" t="n">
        <f aca="false">Finances!N16</f>
        <v>18400</v>
      </c>
      <c r="N28" s="11" t="n">
        <f aca="false">SUM(B28:M28)</f>
        <v>223800</v>
      </c>
      <c r="O28" s="8" t="n">
        <f aca="false">IF(B28&lt;&gt;0,(M28-B28)/B28,0)</f>
        <v>0</v>
      </c>
    </row>
    <row r="29" customFormat="false" ht="18" hidden="false" customHeight="true" outlineLevel="0" collapsed="false">
      <c r="A29" s="5" t="s">
        <v>40</v>
      </c>
      <c r="B29" s="10" t="n">
        <f aca="false">Finances!C17</f>
        <v>5484</v>
      </c>
      <c r="C29" s="10" t="n">
        <f aca="false">Finances!D17</f>
        <v>5515</v>
      </c>
      <c r="D29" s="10" t="n">
        <f aca="false">Finances!E17</f>
        <v>5534</v>
      </c>
      <c r="E29" s="10" t="n">
        <f aca="false">Finances!F17</f>
        <v>6087</v>
      </c>
      <c r="F29" s="10" t="n">
        <f aca="false">Finances!G17</f>
        <v>6654</v>
      </c>
      <c r="G29" s="10" t="n">
        <f aca="false">Finances!H17</f>
        <v>7304</v>
      </c>
      <c r="H29" s="10" t="n">
        <f aca="false">Finances!I17</f>
        <v>7396</v>
      </c>
      <c r="I29" s="10" t="n">
        <f aca="false">Finances!J17</f>
        <v>7344</v>
      </c>
      <c r="J29" s="10" t="n">
        <f aca="false">Finances!K17</f>
        <v>7537</v>
      </c>
      <c r="K29" s="10" t="n">
        <f aca="false">Finances!L17</f>
        <v>7923</v>
      </c>
      <c r="L29" s="10" t="n">
        <f aca="false">Finances!M17</f>
        <v>8185</v>
      </c>
      <c r="M29" s="10" t="n">
        <f aca="false">Finances!N17</f>
        <v>8392</v>
      </c>
      <c r="N29" s="11" t="n">
        <f aca="false">SUM(B29:M29)</f>
        <v>83355</v>
      </c>
      <c r="O29" s="8" t="n">
        <f aca="false">IF(B29&lt;&gt;0,(M29-B29)/B29,0)</f>
        <v>0.530269876002918</v>
      </c>
    </row>
    <row r="30" customFormat="false" ht="18" hidden="false" customHeight="true" outlineLevel="0" collapsed="false">
      <c r="A30" s="5" t="s">
        <v>41</v>
      </c>
      <c r="B30" s="10" t="n">
        <f aca="false">Finances!C18</f>
        <v>4377</v>
      </c>
      <c r="C30" s="10" t="n">
        <f aca="false">Finances!D18</f>
        <v>4461</v>
      </c>
      <c r="D30" s="10" t="n">
        <f aca="false">Finances!E18</f>
        <v>4214</v>
      </c>
      <c r="E30" s="10" t="n">
        <f aca="false">Finances!F18</f>
        <v>4462</v>
      </c>
      <c r="F30" s="10" t="n">
        <f aca="false">Finances!G18</f>
        <v>4793</v>
      </c>
      <c r="G30" s="10" t="n">
        <f aca="false">Finances!H18</f>
        <v>5160</v>
      </c>
      <c r="H30" s="10" t="n">
        <f aca="false">Finances!I18</f>
        <v>4414</v>
      </c>
      <c r="I30" s="10" t="n">
        <f aca="false">Finances!J18</f>
        <v>4254</v>
      </c>
      <c r="J30" s="10" t="n">
        <f aca="false">Finances!K18</f>
        <v>4700</v>
      </c>
      <c r="K30" s="10" t="n">
        <f aca="false">Finances!L18</f>
        <v>5507</v>
      </c>
      <c r="L30" s="10" t="n">
        <f aca="false">Finances!M18</f>
        <v>6214</v>
      </c>
      <c r="M30" s="10" t="n">
        <f aca="false">Finances!N18</f>
        <v>6817</v>
      </c>
      <c r="N30" s="11" t="n">
        <f aca="false">SUM(B30:M30)</f>
        <v>59373</v>
      </c>
      <c r="O30" s="8" t="n">
        <f aca="false">IF(B30&lt;&gt;0,(M30-B30)/B30,0)</f>
        <v>0.557459447109893</v>
      </c>
    </row>
    <row r="31" customFormat="false" ht="18" hidden="false" customHeight="true" outlineLevel="0" collapsed="false">
      <c r="A31" s="5" t="s">
        <v>42</v>
      </c>
      <c r="B31" s="10" t="n">
        <f aca="false">Finances!C19</f>
        <v>3368</v>
      </c>
      <c r="C31" s="10" t="n">
        <f aca="false">Finances!D19</f>
        <v>3422</v>
      </c>
      <c r="D31" s="10" t="n">
        <f aca="false">Finances!E19</f>
        <v>3394</v>
      </c>
      <c r="E31" s="10" t="n">
        <f aca="false">Finances!F19</f>
        <v>3378</v>
      </c>
      <c r="F31" s="10" t="n">
        <f aca="false">Finances!G19</f>
        <v>3288</v>
      </c>
      <c r="G31" s="10" t="n">
        <f aca="false">Finances!H19</f>
        <v>3396</v>
      </c>
      <c r="H31" s="10" t="n">
        <f aca="false">Finances!I19</f>
        <v>3058</v>
      </c>
      <c r="I31" s="10" t="n">
        <f aca="false">Finances!J19</f>
        <v>2702</v>
      </c>
      <c r="J31" s="10" t="n">
        <f aca="false">Finances!K19</f>
        <v>2902</v>
      </c>
      <c r="K31" s="10" t="n">
        <f aca="false">Finances!L19</f>
        <v>2870</v>
      </c>
      <c r="L31" s="10" t="n">
        <f aca="false">Finances!M19</f>
        <v>2772</v>
      </c>
      <c r="M31" s="10" t="n">
        <f aca="false">Finances!N19</f>
        <v>2574</v>
      </c>
      <c r="N31" s="11" t="n">
        <f aca="false">SUM(B31:M31)</f>
        <v>37124</v>
      </c>
      <c r="O31" s="8" t="n">
        <f aca="false">IF(B31&lt;&gt;0,(M31-B31)/B31,0)</f>
        <v>-0.235748218527316</v>
      </c>
    </row>
    <row r="32" customFormat="false" ht="18" hidden="false" customHeight="true" outlineLevel="0" collapsed="false">
      <c r="A32" s="5" t="s">
        <v>43</v>
      </c>
      <c r="B32" s="10" t="n">
        <f aca="false">Finances!C20</f>
        <v>3040</v>
      </c>
      <c r="C32" s="10" t="n">
        <f aca="false">Finances!D20</f>
        <v>3060</v>
      </c>
      <c r="D32" s="10" t="n">
        <f aca="false">Finances!E20</f>
        <v>3050</v>
      </c>
      <c r="E32" s="10" t="n">
        <f aca="false">Finances!F20</f>
        <v>3050</v>
      </c>
      <c r="F32" s="10" t="n">
        <f aca="false">Finances!G20</f>
        <v>3020</v>
      </c>
      <c r="G32" s="10" t="n">
        <f aca="false">Finances!H20</f>
        <v>3050</v>
      </c>
      <c r="H32" s="10" t="n">
        <f aca="false">Finances!I20</f>
        <v>2950</v>
      </c>
      <c r="I32" s="10" t="n">
        <f aca="false">Finances!J20</f>
        <v>2840</v>
      </c>
      <c r="J32" s="10" t="n">
        <f aca="false">Finances!K20</f>
        <v>2900</v>
      </c>
      <c r="K32" s="10" t="n">
        <f aca="false">Finances!L20</f>
        <v>2890</v>
      </c>
      <c r="L32" s="10" t="n">
        <f aca="false">Finances!M20</f>
        <v>2860</v>
      </c>
      <c r="M32" s="10" t="n">
        <f aca="false">Finances!N20</f>
        <v>2800</v>
      </c>
      <c r="N32" s="11" t="n">
        <f aca="false">SUM(B32:M32)</f>
        <v>35510</v>
      </c>
      <c r="O32" s="8" t="n">
        <f aca="false">IF(B32&lt;&gt;0,(M32-B32)/B32,0)</f>
        <v>-0.0789473684210526</v>
      </c>
    </row>
    <row r="33" customFormat="false" ht="18" hidden="false" customHeight="true" outlineLevel="0" collapsed="false">
      <c r="A33" s="5" t="s">
        <v>44</v>
      </c>
      <c r="B33" s="10" t="n">
        <f aca="false">Finances!C21</f>
        <v>2500</v>
      </c>
      <c r="C33" s="10" t="n">
        <f aca="false">Finances!D21</f>
        <v>2500</v>
      </c>
      <c r="D33" s="10" t="n">
        <f aca="false">Finances!E21</f>
        <v>2500</v>
      </c>
      <c r="E33" s="10" t="n">
        <f aca="false">Finances!F21</f>
        <v>2500</v>
      </c>
      <c r="F33" s="10" t="n">
        <f aca="false">Finances!G21</f>
        <v>2500</v>
      </c>
      <c r="G33" s="10" t="n">
        <f aca="false">Finances!H21</f>
        <v>2500</v>
      </c>
      <c r="H33" s="10" t="n">
        <f aca="false">Finances!I21</f>
        <v>2500</v>
      </c>
      <c r="I33" s="10" t="n">
        <f aca="false">Finances!J21</f>
        <v>2500</v>
      </c>
      <c r="J33" s="10" t="n">
        <f aca="false">Finances!K21</f>
        <v>2500</v>
      </c>
      <c r="K33" s="10" t="n">
        <f aca="false">Finances!L21</f>
        <v>2500</v>
      </c>
      <c r="L33" s="10" t="n">
        <f aca="false">Finances!M21</f>
        <v>2500</v>
      </c>
      <c r="M33" s="10" t="n">
        <f aca="false">Finances!N21</f>
        <v>2500</v>
      </c>
      <c r="N33" s="11" t="n">
        <f aca="false">SUM(B33:M33)</f>
        <v>30000</v>
      </c>
      <c r="O33" s="8" t="n">
        <f aca="false">IF(B33&lt;&gt;0,(M33-B33)/B33,0)</f>
        <v>0</v>
      </c>
    </row>
    <row r="34" customFormat="false" ht="18" hidden="false" customHeight="true" outlineLevel="0" collapsed="false">
      <c r="A34" s="5" t="s">
        <v>45</v>
      </c>
      <c r="B34" s="10" t="n">
        <f aca="false">Finances!C22</f>
        <v>850</v>
      </c>
      <c r="C34" s="10" t="n">
        <f aca="false">Finances!D22</f>
        <v>1420</v>
      </c>
      <c r="D34" s="10" t="n">
        <f aca="false">Finances!E22</f>
        <v>610</v>
      </c>
      <c r="E34" s="10" t="n">
        <f aca="false">Finances!F22</f>
        <v>980</v>
      </c>
      <c r="F34" s="10" t="n">
        <f aca="false">Finances!G22</f>
        <v>1250</v>
      </c>
      <c r="G34" s="10" t="n">
        <f aca="false">Finances!H22</f>
        <v>720</v>
      </c>
      <c r="H34" s="10" t="n">
        <f aca="false">Finances!I22</f>
        <v>1980</v>
      </c>
      <c r="I34" s="10" t="n">
        <f aca="false">Finances!J22</f>
        <v>540</v>
      </c>
      <c r="J34" s="10" t="n">
        <f aca="false">Finances!K22</f>
        <v>1130</v>
      </c>
      <c r="K34" s="10" t="n">
        <f aca="false">Finances!L22</f>
        <v>860</v>
      </c>
      <c r="L34" s="10" t="n">
        <f aca="false">Finances!M22</f>
        <v>1560</v>
      </c>
      <c r="M34" s="10" t="n">
        <f aca="false">Finances!N22</f>
        <v>940</v>
      </c>
      <c r="N34" s="11" t="n">
        <f aca="false">SUM(B34:M34)</f>
        <v>12840</v>
      </c>
      <c r="O34" s="8" t="n">
        <f aca="false">IF(B34&lt;&gt;0,(M34-B34)/B34,0)</f>
        <v>0.105882352941176</v>
      </c>
    </row>
    <row r="35" customFormat="false" ht="18" hidden="false" customHeight="true" outlineLevel="0" collapsed="false">
      <c r="A35" s="5" t="s">
        <v>46</v>
      </c>
      <c r="B35" s="10" t="n">
        <f aca="false">Finances!C23</f>
        <v>1500</v>
      </c>
      <c r="C35" s="10" t="n">
        <f aca="false">Finances!D23</f>
        <v>1500</v>
      </c>
      <c r="D35" s="10" t="n">
        <f aca="false">Finances!E23</f>
        <v>1500</v>
      </c>
      <c r="E35" s="10" t="n">
        <f aca="false">Finances!F23</f>
        <v>1500</v>
      </c>
      <c r="F35" s="10" t="n">
        <f aca="false">Finances!G23</f>
        <v>1500</v>
      </c>
      <c r="G35" s="10" t="n">
        <f aca="false">Finances!H23</f>
        <v>1500</v>
      </c>
      <c r="H35" s="10" t="n">
        <f aca="false">Finances!I23</f>
        <v>1500</v>
      </c>
      <c r="I35" s="10" t="n">
        <f aca="false">Finances!J23</f>
        <v>1500</v>
      </c>
      <c r="J35" s="10" t="n">
        <f aca="false">Finances!K23</f>
        <v>1500</v>
      </c>
      <c r="K35" s="10" t="n">
        <f aca="false">Finances!L23</f>
        <v>1500</v>
      </c>
      <c r="L35" s="10" t="n">
        <f aca="false">Finances!M23</f>
        <v>1500</v>
      </c>
      <c r="M35" s="10" t="n">
        <f aca="false">Finances!N23</f>
        <v>1500</v>
      </c>
      <c r="N35" s="11" t="n">
        <f aca="false">SUM(B35:M35)</f>
        <v>18000</v>
      </c>
      <c r="O35" s="8" t="n">
        <f aca="false">IF(B35&lt;&gt;0,(M35-B35)/B35,0)</f>
        <v>0</v>
      </c>
    </row>
    <row r="36" customFormat="false" ht="18" hidden="false" customHeight="true" outlineLevel="0" collapsed="false">
      <c r="A36" s="5" t="s">
        <v>47</v>
      </c>
      <c r="B36" s="10" t="n">
        <f aca="false">Finances!C24</f>
        <v>1170</v>
      </c>
      <c r="C36" s="10" t="n">
        <f aca="false">Finances!D24</f>
        <v>1080</v>
      </c>
      <c r="D36" s="10" t="n">
        <f aca="false">Finances!E24</f>
        <v>1000</v>
      </c>
      <c r="E36" s="10" t="n">
        <f aca="false">Finances!F24</f>
        <v>1000</v>
      </c>
      <c r="F36" s="10" t="n">
        <f aca="false">Finances!G24</f>
        <v>1020</v>
      </c>
      <c r="G36" s="10" t="n">
        <f aca="false">Finances!H24</f>
        <v>1040</v>
      </c>
      <c r="H36" s="10" t="n">
        <f aca="false">Finances!I24</f>
        <v>1110</v>
      </c>
      <c r="I36" s="10" t="n">
        <f aca="false">Finances!J24</f>
        <v>1050</v>
      </c>
      <c r="J36" s="10" t="n">
        <f aca="false">Finances!K24</f>
        <v>1090</v>
      </c>
      <c r="K36" s="10" t="n">
        <f aca="false">Finances!L24</f>
        <v>1000</v>
      </c>
      <c r="L36" s="10" t="n">
        <f aca="false">Finances!M24</f>
        <v>1120</v>
      </c>
      <c r="M36" s="10" t="n">
        <f aca="false">Finances!N24</f>
        <v>1160</v>
      </c>
      <c r="N36" s="11" t="n">
        <f aca="false">SUM(B36:M36)</f>
        <v>12840</v>
      </c>
      <c r="O36" s="8" t="n">
        <f aca="false">IF(B36&lt;&gt;0,(M36-B36)/B36,0)</f>
        <v>-0.00854700854700855</v>
      </c>
    </row>
    <row r="37" customFormat="false" ht="18" hidden="false" customHeight="true" outlineLevel="0" collapsed="false">
      <c r="A37" s="12" t="s">
        <v>48</v>
      </c>
      <c r="B37" s="11" t="n">
        <f aca="false">SUM(B27:B36)</f>
        <v>77489</v>
      </c>
      <c r="C37" s="11" t="n">
        <f aca="false">SUM(C27:C36)</f>
        <v>78158</v>
      </c>
      <c r="D37" s="11" t="n">
        <f aca="false">SUM(D27:D36)</f>
        <v>77002</v>
      </c>
      <c r="E37" s="11" t="n">
        <f aca="false">SUM(E27:E36)</f>
        <v>78157</v>
      </c>
      <c r="F37" s="11" t="n">
        <f aca="false">SUM(F27:F36)</f>
        <v>79225</v>
      </c>
      <c r="G37" s="11" t="n">
        <f aca="false">SUM(G27:G36)</f>
        <v>79870</v>
      </c>
      <c r="H37" s="11" t="n">
        <f aca="false">SUM(H27:H36)</f>
        <v>84608</v>
      </c>
      <c r="I37" s="11" t="n">
        <f aca="false">SUM(I27:I36)</f>
        <v>82430</v>
      </c>
      <c r="J37" s="11" t="n">
        <f aca="false">SUM(J27:J36)</f>
        <v>79459</v>
      </c>
      <c r="K37" s="11" t="n">
        <f aca="false">SUM(K27:K36)</f>
        <v>80250</v>
      </c>
      <c r="L37" s="11" t="n">
        <f aca="false">SUM(L27:L36)</f>
        <v>81911</v>
      </c>
      <c r="M37" s="11" t="n">
        <f aca="false">SUM(M27:M36)</f>
        <v>81883</v>
      </c>
      <c r="N37" s="11" t="n">
        <f aca="false">SUM(B37:M37)</f>
        <v>960442</v>
      </c>
      <c r="O37" s="8" t="n">
        <f aca="false">IF(B37&lt;&gt;0,(M37-B37)/B37,0)</f>
        <v>0.0567048226199848</v>
      </c>
    </row>
    <row r="38" customFormat="false" ht="18" hidden="false" customHeight="true" outlineLevel="0" collapsed="false">
      <c r="A38" s="3" t="s">
        <v>49</v>
      </c>
      <c r="B38" s="13" t="n">
        <f aca="false">B26-B37</f>
        <v>-2757</v>
      </c>
      <c r="C38" s="13" t="n">
        <f aca="false">C26-C37</f>
        <v>-2160</v>
      </c>
      <c r="D38" s="13" t="n">
        <f aca="false">D26-D37</f>
        <v>-961</v>
      </c>
      <c r="E38" s="13" t="n">
        <f aca="false">E26-E37</f>
        <v>-2930</v>
      </c>
      <c r="F38" s="13" t="n">
        <f aca="false">F26-F37</f>
        <v>-5381</v>
      </c>
      <c r="G38" s="13" t="n">
        <f aca="false">G26-G37</f>
        <v>-4390</v>
      </c>
      <c r="H38" s="13" t="n">
        <f aca="false">H26-H37</f>
        <v>-19869</v>
      </c>
      <c r="I38" s="13" t="n">
        <f aca="false">I26-I37</f>
        <v>-26740</v>
      </c>
      <c r="J38" s="13" t="n">
        <f aca="false">J26-J37</f>
        <v>-18951</v>
      </c>
      <c r="K38" s="13" t="n">
        <f aca="false">K26-K37</f>
        <v>-21079</v>
      </c>
      <c r="L38" s="13" t="n">
        <f aca="false">L26-L37</f>
        <v>-27322</v>
      </c>
      <c r="M38" s="13" t="n">
        <f aca="false">M26-M37</f>
        <v>-32690</v>
      </c>
      <c r="N38" s="13" t="n">
        <f aca="false">N26-N37</f>
        <v>-165230</v>
      </c>
      <c r="O38" s="14" t="n">
        <f aca="false">IF(B38&lt;&gt;0,(M38-B38)/B38,0)</f>
        <v>10.8570910409866</v>
      </c>
    </row>
    <row r="40" customFormat="false" ht="21.75" hidden="false" customHeight="true" outlineLevel="0" collapsed="false">
      <c r="A40" s="3" t="s">
        <v>50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customFormat="false" ht="21.75" hidden="false" customHeight="true" outlineLevel="0" collapsed="false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  <c r="G41" s="4" t="s">
        <v>9</v>
      </c>
      <c r="H41" s="4" t="s">
        <v>10</v>
      </c>
      <c r="I41" s="4" t="s">
        <v>11</v>
      </c>
      <c r="J41" s="4" t="s">
        <v>12</v>
      </c>
      <c r="K41" s="4" t="s">
        <v>13</v>
      </c>
      <c r="L41" s="4" t="s">
        <v>14</v>
      </c>
      <c r="M41" s="4" t="s">
        <v>15</v>
      </c>
      <c r="N41" s="4" t="s">
        <v>16</v>
      </c>
      <c r="O41" s="4" t="s">
        <v>17</v>
      </c>
    </row>
    <row r="42" customFormat="false" ht="18" hidden="false" customHeight="true" outlineLevel="0" collapsed="false">
      <c r="A42" s="5" t="s">
        <v>51</v>
      </c>
      <c r="B42" s="15" t="n">
        <f aca="false">AVERAGE('Qualité Eau'!B13:B16)</f>
        <v>7.325</v>
      </c>
      <c r="C42" s="15" t="n">
        <f aca="false">AVERAGE('Qualité Eau'!B17:B20)</f>
        <v>7.4</v>
      </c>
      <c r="D42" s="15" t="n">
        <f aca="false">AVERAGE('Qualité Eau'!B21:B24)</f>
        <v>7.45</v>
      </c>
      <c r="E42" s="15" t="n">
        <f aca="false">AVERAGE('Qualité Eau'!B25:B28)</f>
        <v>7.45</v>
      </c>
      <c r="F42" s="15" t="n">
        <f aca="false">AVERAGE('Qualité Eau'!B29:B32)</f>
        <v>7.35</v>
      </c>
      <c r="G42" s="15" t="n">
        <f aca="false">AVERAGE('Qualité Eau'!B33:B36)</f>
        <v>7.425</v>
      </c>
      <c r="H42" s="15" t="n">
        <f aca="false">AVERAGE('Qualité Eau'!B37:B40)</f>
        <v>7.4</v>
      </c>
      <c r="I42" s="15" t="n">
        <f aca="false">AVERAGE('Qualité Eau'!B41:B44)</f>
        <v>7.375</v>
      </c>
      <c r="J42" s="15" t="n">
        <f aca="false">AVERAGE('Qualité Eau'!B45:B48)</f>
        <v>7.375</v>
      </c>
      <c r="K42" s="15" t="n">
        <f aca="false">AVERAGE('Qualité Eau'!B49:B52)</f>
        <v>7.375</v>
      </c>
      <c r="L42" s="15" t="n">
        <f aca="false">AVERAGE('Qualité Eau'!B53:B56)</f>
        <v>7.45</v>
      </c>
      <c r="M42" s="15" t="n">
        <f aca="false">AVERAGE('Qualité Eau'!B57:B60)</f>
        <v>7.45</v>
      </c>
      <c r="N42" s="16" t="n">
        <f aca="false">AVERAGE(B42:M42)</f>
        <v>7.40208333333333</v>
      </c>
      <c r="O42" s="8" t="s">
        <v>28</v>
      </c>
    </row>
    <row r="43" customFormat="false" ht="18" hidden="false" customHeight="true" outlineLevel="0" collapsed="false">
      <c r="A43" s="5" t="s">
        <v>52</v>
      </c>
      <c r="B43" s="15" t="n">
        <f aca="false">AVERAGE('Qualité Eau'!C13:C16)</f>
        <v>1.025</v>
      </c>
      <c r="C43" s="15" t="n">
        <f aca="false">AVERAGE('Qualité Eau'!C17:C20)</f>
        <v>1.225</v>
      </c>
      <c r="D43" s="15" t="n">
        <f aca="false">AVERAGE('Qualité Eau'!C21:C24)</f>
        <v>1.225</v>
      </c>
      <c r="E43" s="15" t="n">
        <f aca="false">AVERAGE('Qualité Eau'!C25:C28)</f>
        <v>1.225</v>
      </c>
      <c r="F43" s="15" t="n">
        <f aca="false">AVERAGE('Qualité Eau'!C29:C32)</f>
        <v>1.1</v>
      </c>
      <c r="G43" s="15" t="n">
        <f aca="false">AVERAGE('Qualité Eau'!C33:C36)</f>
        <v>1.1</v>
      </c>
      <c r="H43" s="15" t="n">
        <f aca="false">AVERAGE('Qualité Eau'!C37:C40)</f>
        <v>1.1</v>
      </c>
      <c r="I43" s="15" t="n">
        <f aca="false">AVERAGE('Qualité Eau'!C41:C44)</f>
        <v>1</v>
      </c>
      <c r="J43" s="15" t="n">
        <f aca="false">AVERAGE('Qualité Eau'!C45:C48)</f>
        <v>1.2</v>
      </c>
      <c r="K43" s="15" t="n">
        <f aca="false">AVERAGE('Qualité Eau'!C49:C52)</f>
        <v>1.1</v>
      </c>
      <c r="L43" s="15" t="n">
        <f aca="false">AVERAGE('Qualité Eau'!C53:C56)</f>
        <v>1.2</v>
      </c>
      <c r="M43" s="15" t="n">
        <f aca="false">AVERAGE('Qualité Eau'!C57:C60)</f>
        <v>1.175</v>
      </c>
      <c r="N43" s="16" t="n">
        <f aca="false">AVERAGE(B43:M43)</f>
        <v>1.13958333333333</v>
      </c>
      <c r="O43" s="8" t="s">
        <v>28</v>
      </c>
    </row>
    <row r="44" customFormat="false" ht="18" hidden="false" customHeight="true" outlineLevel="0" collapsed="false">
      <c r="A44" s="5" t="s">
        <v>53</v>
      </c>
      <c r="B44" s="15" t="n">
        <f aca="false">AVERAGE('Qualité Eau'!D13:D16)</f>
        <v>28.25</v>
      </c>
      <c r="C44" s="15" t="n">
        <f aca="false">AVERAGE('Qualité Eau'!D17:D20)</f>
        <v>28.225</v>
      </c>
      <c r="D44" s="15" t="n">
        <f aca="false">AVERAGE('Qualité Eau'!D21:D24)</f>
        <v>28.2</v>
      </c>
      <c r="E44" s="15" t="n">
        <f aca="false">AVERAGE('Qualité Eau'!D25:D28)</f>
        <v>28.275</v>
      </c>
      <c r="F44" s="15" t="n">
        <f aca="false">AVERAGE('Qualité Eau'!D29:D32)</f>
        <v>28.225</v>
      </c>
      <c r="G44" s="15" t="n">
        <f aca="false">AVERAGE('Qualité Eau'!D33:D36)</f>
        <v>28.275</v>
      </c>
      <c r="H44" s="15" t="n">
        <f aca="false">AVERAGE('Qualité Eau'!D37:D40)</f>
        <v>26.625</v>
      </c>
      <c r="I44" s="15" t="n">
        <f aca="false">AVERAGE('Qualité Eau'!D41:D44)</f>
        <v>26</v>
      </c>
      <c r="J44" s="15" t="n">
        <f aca="false">AVERAGE('Qualité Eau'!D45:D48)</f>
        <v>25.9</v>
      </c>
      <c r="K44" s="15" t="n">
        <f aca="false">AVERAGE('Qualité Eau'!D49:D52)</f>
        <v>25.725</v>
      </c>
      <c r="L44" s="15" t="n">
        <f aca="false">AVERAGE('Qualité Eau'!D53:D56)</f>
        <v>25.525</v>
      </c>
      <c r="M44" s="15" t="n">
        <f aca="false">AVERAGE('Qualité Eau'!D57:D60)</f>
        <v>25.4</v>
      </c>
      <c r="N44" s="16" t="n">
        <f aca="false">AVERAGE(B44:M44)</f>
        <v>27.0520833333333</v>
      </c>
      <c r="O44" s="8" t="s">
        <v>28</v>
      </c>
    </row>
    <row r="45" customFormat="false" ht="18" hidden="false" customHeight="true" outlineLevel="0" collapsed="false">
      <c r="A45" s="5" t="s">
        <v>54</v>
      </c>
      <c r="B45" s="15" t="n">
        <f aca="false">AVERAGE('Qualité Eau'!E13:E16)</f>
        <v>0.2625</v>
      </c>
      <c r="C45" s="15" t="n">
        <f aca="false">AVERAGE('Qualité Eau'!E17:E20)</f>
        <v>0.325</v>
      </c>
      <c r="D45" s="15" t="n">
        <f aca="false">AVERAGE('Qualité Eau'!E21:E24)</f>
        <v>0.195</v>
      </c>
      <c r="E45" s="15" t="n">
        <f aca="false">AVERAGE('Qualité Eau'!E25:E28)</f>
        <v>0.23</v>
      </c>
      <c r="F45" s="15" t="n">
        <f aca="false">AVERAGE('Qualité Eau'!E29:E32)</f>
        <v>0.2475</v>
      </c>
      <c r="G45" s="15" t="n">
        <f aca="false">AVERAGE('Qualité Eau'!E33:E36)</f>
        <v>0.235</v>
      </c>
      <c r="H45" s="15" t="n">
        <f aca="false">AVERAGE('Qualité Eau'!E37:E40)</f>
        <v>0.27</v>
      </c>
      <c r="I45" s="15" t="n">
        <f aca="false">AVERAGE('Qualité Eau'!E41:E44)</f>
        <v>0.2475</v>
      </c>
      <c r="J45" s="15" t="n">
        <f aca="false">AVERAGE('Qualité Eau'!E45:E48)</f>
        <v>0.2025</v>
      </c>
      <c r="K45" s="15" t="n">
        <f aca="false">AVERAGE('Qualité Eau'!E49:E52)</f>
        <v>0.24</v>
      </c>
      <c r="L45" s="15" t="n">
        <f aca="false">AVERAGE('Qualité Eau'!E53:E56)</f>
        <v>0.2425</v>
      </c>
      <c r="M45" s="15" t="n">
        <f aca="false">AVERAGE('Qualité Eau'!E57:E60)</f>
        <v>0.2275</v>
      </c>
      <c r="N45" s="16" t="n">
        <f aca="false">AVERAGE(B45:M45)</f>
        <v>0.24375</v>
      </c>
      <c r="O45" s="8" t="s">
        <v>28</v>
      </c>
    </row>
    <row r="46" customFormat="false" ht="18" hidden="false" customHeight="true" outlineLevel="0" collapsed="false">
      <c r="A46" s="5" t="s">
        <v>55</v>
      </c>
      <c r="B46" s="15" t="n">
        <f aca="false">AVERAGE('Qualité Eau'!F13:F16)</f>
        <v>0.18</v>
      </c>
      <c r="C46" s="15" t="n">
        <f aca="false">AVERAGE('Qualité Eau'!F17:F20)</f>
        <v>0.19</v>
      </c>
      <c r="D46" s="15" t="n">
        <f aca="false">AVERAGE('Qualité Eau'!F21:F24)</f>
        <v>0.1575</v>
      </c>
      <c r="E46" s="15" t="n">
        <f aca="false">AVERAGE('Qualité Eau'!F25:F28)</f>
        <v>0.175</v>
      </c>
      <c r="F46" s="15" t="n">
        <f aca="false">AVERAGE('Qualité Eau'!F29:F32)</f>
        <v>0.1775</v>
      </c>
      <c r="G46" s="15" t="n">
        <f aca="false">AVERAGE('Qualité Eau'!F33:F36)</f>
        <v>0.2125</v>
      </c>
      <c r="H46" s="15" t="n">
        <f aca="false">AVERAGE('Qualité Eau'!F37:F40)</f>
        <v>0.15</v>
      </c>
      <c r="I46" s="15" t="n">
        <f aca="false">AVERAGE('Qualité Eau'!F41:F44)</f>
        <v>0.165</v>
      </c>
      <c r="J46" s="15" t="n">
        <f aca="false">AVERAGE('Qualité Eau'!F45:F48)</f>
        <v>0.1375</v>
      </c>
      <c r="K46" s="15" t="n">
        <f aca="false">AVERAGE('Qualité Eau'!F49:F52)</f>
        <v>0.15</v>
      </c>
      <c r="L46" s="15" t="n">
        <f aca="false">AVERAGE('Qualité Eau'!F53:F56)</f>
        <v>0.145</v>
      </c>
      <c r="M46" s="15" t="n">
        <f aca="false">AVERAGE('Qualité Eau'!F57:F60)</f>
        <v>0.155</v>
      </c>
      <c r="N46" s="16" t="n">
        <f aca="false">AVERAGE(B46:M46)</f>
        <v>0.16625</v>
      </c>
      <c r="O46" s="8" t="s">
        <v>28</v>
      </c>
    </row>
    <row r="47" customFormat="false" ht="18" hidden="false" customHeight="true" outlineLevel="0" collapsed="false">
      <c r="A47" s="5" t="s">
        <v>56</v>
      </c>
      <c r="B47" s="6" t="n">
        <f aca="false">SUM('Qualité Eau'!H13:H16)</f>
        <v>1</v>
      </c>
      <c r="C47" s="6" t="n">
        <f aca="false">SUM('Qualité Eau'!H17:H20)</f>
        <v>1</v>
      </c>
      <c r="D47" s="6" t="n">
        <f aca="false">SUM('Qualité Eau'!H21:H24)</f>
        <v>0</v>
      </c>
      <c r="E47" s="6" t="n">
        <f aca="false">SUM('Qualité Eau'!H25:H28)</f>
        <v>0</v>
      </c>
      <c r="F47" s="6" t="n">
        <f aca="false">SUM('Qualité Eau'!H29:H32)</f>
        <v>0</v>
      </c>
      <c r="G47" s="6" t="n">
        <f aca="false">SUM('Qualité Eau'!H33:H36)</f>
        <v>1</v>
      </c>
      <c r="H47" s="6" t="n">
        <f aca="false">SUM('Qualité Eau'!H37:H40)</f>
        <v>0</v>
      </c>
      <c r="I47" s="6" t="n">
        <f aca="false">SUM('Qualité Eau'!H41:H44)</f>
        <v>1</v>
      </c>
      <c r="J47" s="6" t="n">
        <f aca="false">SUM('Qualité Eau'!H45:H48)</f>
        <v>0</v>
      </c>
      <c r="K47" s="6" t="n">
        <f aca="false">SUM('Qualité Eau'!H49:H52)</f>
        <v>0</v>
      </c>
      <c r="L47" s="6" t="n">
        <f aca="false">SUM('Qualité Eau'!H53:H56)</f>
        <v>1</v>
      </c>
      <c r="M47" s="6" t="n">
        <f aca="false">SUM('Qualité Eau'!H57:H60)</f>
        <v>0</v>
      </c>
      <c r="N47" s="7" t="n">
        <f aca="false">SUM(B47:M47)</f>
        <v>5</v>
      </c>
      <c r="O47" s="8" t="s">
        <v>28</v>
      </c>
    </row>
    <row r="49" customFormat="false" ht="21.75" hidden="false" customHeight="true" outlineLevel="0" collapsed="false">
      <c r="A49" s="3" t="s">
        <v>57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customFormat="false" ht="21.75" hidden="false" customHeight="true" outlineLevel="0" collapsed="false">
      <c r="A50" s="4" t="s">
        <v>3</v>
      </c>
      <c r="B50" s="4" t="s">
        <v>4</v>
      </c>
      <c r="C50" s="4" t="s">
        <v>5</v>
      </c>
      <c r="D50" s="4" t="s">
        <v>6</v>
      </c>
      <c r="E50" s="4" t="s">
        <v>7</v>
      </c>
      <c r="F50" s="4" t="s">
        <v>8</v>
      </c>
      <c r="G50" s="4" t="s">
        <v>9</v>
      </c>
      <c r="H50" s="4" t="s">
        <v>10</v>
      </c>
      <c r="I50" s="4" t="s">
        <v>11</v>
      </c>
      <c r="J50" s="4" t="s">
        <v>12</v>
      </c>
      <c r="K50" s="4" t="s">
        <v>13</v>
      </c>
      <c r="L50" s="4" t="s">
        <v>14</v>
      </c>
      <c r="M50" s="4" t="s">
        <v>15</v>
      </c>
      <c r="N50" s="4" t="s">
        <v>16</v>
      </c>
      <c r="O50" s="4" t="s">
        <v>17</v>
      </c>
    </row>
    <row r="51" customFormat="false" ht="18" hidden="false" customHeight="true" outlineLevel="0" collapsed="false">
      <c r="A51" s="5" t="s">
        <v>58</v>
      </c>
      <c r="B51" s="6" t="n">
        <f aca="false">'RH &amp; Sécurité'!C14</f>
        <v>8</v>
      </c>
      <c r="C51" s="6" t="n">
        <f aca="false">'RH &amp; Sécurité'!D14</f>
        <v>12</v>
      </c>
      <c r="D51" s="6" t="n">
        <f aca="false">'RH &amp; Sécurité'!E14</f>
        <v>6</v>
      </c>
      <c r="E51" s="6" t="n">
        <f aca="false">'RH &amp; Sécurité'!F14</f>
        <v>9</v>
      </c>
      <c r="F51" s="6" t="n">
        <f aca="false">'RH &amp; Sécurité'!G14</f>
        <v>5</v>
      </c>
      <c r="G51" s="6" t="n">
        <f aca="false">'RH &amp; Sécurité'!H14</f>
        <v>7</v>
      </c>
      <c r="H51" s="6" t="n">
        <f aca="false">'RH &amp; Sécurité'!I14</f>
        <v>6</v>
      </c>
      <c r="I51" s="6" t="n">
        <f aca="false">'RH &amp; Sécurité'!J14</f>
        <v>4</v>
      </c>
      <c r="J51" s="6" t="n">
        <f aca="false">'RH &amp; Sécurité'!K14</f>
        <v>9</v>
      </c>
      <c r="K51" s="6" t="n">
        <f aca="false">'RH &amp; Sécurité'!L14</f>
        <v>8</v>
      </c>
      <c r="L51" s="6" t="n">
        <f aca="false">'RH &amp; Sécurité'!M14</f>
        <v>11</v>
      </c>
      <c r="M51" s="6" t="n">
        <f aca="false">'RH &amp; Sécurité'!N14</f>
        <v>10</v>
      </c>
      <c r="N51" s="7" t="n">
        <f aca="false">SUM(B51:M51)</f>
        <v>95</v>
      </c>
      <c r="O51" s="8" t="s">
        <v>28</v>
      </c>
    </row>
    <row r="52" customFormat="false" ht="18" hidden="false" customHeight="true" outlineLevel="0" collapsed="false">
      <c r="A52" s="5" t="s">
        <v>59</v>
      </c>
      <c r="B52" s="9" t="n">
        <f aca="false">'RH &amp; Sécurité'!C15</f>
        <v>0.022</v>
      </c>
      <c r="C52" s="9" t="n">
        <f aca="false">'RH &amp; Sécurité'!D15</f>
        <v>0.033</v>
      </c>
      <c r="D52" s="9" t="n">
        <f aca="false">'RH &amp; Sécurité'!E15</f>
        <v>0.017</v>
      </c>
      <c r="E52" s="9" t="n">
        <f aca="false">'RH &amp; Sécurité'!F15</f>
        <v>0.025</v>
      </c>
      <c r="F52" s="9" t="n">
        <f aca="false">'RH &amp; Sécurité'!G15</f>
        <v>0.014</v>
      </c>
      <c r="G52" s="9" t="n">
        <f aca="false">'RH &amp; Sécurité'!H15</f>
        <v>0.019</v>
      </c>
      <c r="H52" s="9" t="n">
        <f aca="false">'RH &amp; Sécurité'!I15</f>
        <v>0.015</v>
      </c>
      <c r="I52" s="9" t="n">
        <f aca="false">'RH &amp; Sécurité'!J15</f>
        <v>0.01</v>
      </c>
      <c r="J52" s="9" t="n">
        <f aca="false">'RH &amp; Sécurité'!K15</f>
        <v>0.025</v>
      </c>
      <c r="K52" s="9" t="n">
        <f aca="false">'RH &amp; Sécurité'!L15</f>
        <v>0.022</v>
      </c>
      <c r="L52" s="9" t="n">
        <f aca="false">'RH &amp; Sécurité'!M15</f>
        <v>0.03</v>
      </c>
      <c r="M52" s="9" t="n">
        <f aca="false">'RH &amp; Sécurité'!N15</f>
        <v>0.028</v>
      </c>
      <c r="N52" s="8" t="n">
        <f aca="false">AVERAGE(B52:M52)</f>
        <v>0.0216666666666667</v>
      </c>
      <c r="O52" s="8" t="s">
        <v>28</v>
      </c>
    </row>
    <row r="53" customFormat="false" ht="18" hidden="false" customHeight="true" outlineLevel="0" collapsed="false">
      <c r="A53" s="5" t="s">
        <v>60</v>
      </c>
      <c r="B53" s="6" t="n">
        <f aca="false">'RH &amp; Sécurité'!C17</f>
        <v>2</v>
      </c>
      <c r="C53" s="6" t="n">
        <f aca="false">'RH &amp; Sécurité'!D17</f>
        <v>3</v>
      </c>
      <c r="D53" s="6" t="n">
        <f aca="false">'RH &amp; Sécurité'!E17</f>
        <v>1</v>
      </c>
      <c r="E53" s="6" t="n">
        <f aca="false">'RH &amp; Sécurité'!F17</f>
        <v>2</v>
      </c>
      <c r="F53" s="6" t="n">
        <f aca="false">'RH &amp; Sécurité'!G17</f>
        <v>2</v>
      </c>
      <c r="G53" s="6" t="n">
        <f aca="false">'RH &amp; Sécurité'!H17</f>
        <v>1</v>
      </c>
      <c r="H53" s="6" t="n">
        <f aca="false">'RH &amp; Sécurité'!I17</f>
        <v>0</v>
      </c>
      <c r="I53" s="6" t="n">
        <f aca="false">'RH &amp; Sécurité'!J17</f>
        <v>0</v>
      </c>
      <c r="J53" s="6" t="n">
        <f aca="false">'RH &amp; Sécurité'!K17</f>
        <v>3</v>
      </c>
      <c r="K53" s="6" t="n">
        <f aca="false">'RH &amp; Sécurité'!L17</f>
        <v>2</v>
      </c>
      <c r="L53" s="6" t="n">
        <f aca="false">'RH &amp; Sécurité'!M17</f>
        <v>2</v>
      </c>
      <c r="M53" s="6" t="n">
        <f aca="false">'RH &amp; Sécurité'!N17</f>
        <v>1</v>
      </c>
      <c r="N53" s="7" t="n">
        <f aca="false">SUM(B53:M53)</f>
        <v>19</v>
      </c>
      <c r="O53" s="8" t="s">
        <v>28</v>
      </c>
    </row>
    <row r="54" customFormat="false" ht="18" hidden="false" customHeight="true" outlineLevel="0" collapsed="false">
      <c r="A54" s="5" t="s">
        <v>61</v>
      </c>
      <c r="B54" s="6" t="n">
        <f aca="false">'RH &amp; Sécurité'!C18</f>
        <v>2</v>
      </c>
      <c r="C54" s="6" t="n">
        <f aca="false">'RH &amp; Sécurité'!D18</f>
        <v>2</v>
      </c>
      <c r="D54" s="6" t="n">
        <f aca="false">'RH &amp; Sécurité'!E18</f>
        <v>1</v>
      </c>
      <c r="E54" s="6" t="n">
        <f aca="false">'RH &amp; Sécurité'!F18</f>
        <v>0</v>
      </c>
      <c r="F54" s="6" t="n">
        <f aca="false">'RH &amp; Sécurité'!G18</f>
        <v>1</v>
      </c>
      <c r="G54" s="6" t="n">
        <f aca="false">'RH &amp; Sécurité'!H18</f>
        <v>1</v>
      </c>
      <c r="H54" s="6" t="n">
        <f aca="false">'RH &amp; Sécurité'!I18</f>
        <v>1</v>
      </c>
      <c r="I54" s="6" t="n">
        <f aca="false">'RH &amp; Sécurité'!J18</f>
        <v>0</v>
      </c>
      <c r="J54" s="6" t="n">
        <f aca="false">'RH &amp; Sécurité'!K18</f>
        <v>2</v>
      </c>
      <c r="K54" s="6" t="n">
        <f aca="false">'RH &amp; Sécurité'!L18</f>
        <v>1</v>
      </c>
      <c r="L54" s="6" t="n">
        <f aca="false">'RH &amp; Sécurité'!M18</f>
        <v>1</v>
      </c>
      <c r="M54" s="6" t="n">
        <f aca="false">'RH &amp; Sécurité'!N18</f>
        <v>1</v>
      </c>
      <c r="N54" s="7" t="n">
        <f aca="false">SUM(B54:M54)</f>
        <v>13</v>
      </c>
      <c r="O54" s="8" t="s">
        <v>28</v>
      </c>
    </row>
    <row r="56" customFormat="false" ht="21.75" hidden="false" customHeight="true" outlineLevel="0" collapsed="false">
      <c r="A56" s="3" t="s">
        <v>62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21.75" hidden="false" customHeight="true" outlineLevel="0" collapsed="false">
      <c r="A57" s="4" t="s">
        <v>3</v>
      </c>
      <c r="B57" s="4" t="s">
        <v>4</v>
      </c>
      <c r="C57" s="4" t="s">
        <v>5</v>
      </c>
      <c r="D57" s="4" t="s">
        <v>6</v>
      </c>
      <c r="E57" s="4" t="s">
        <v>7</v>
      </c>
      <c r="F57" s="4" t="s">
        <v>8</v>
      </c>
      <c r="G57" s="4" t="s">
        <v>9</v>
      </c>
      <c r="H57" s="4" t="s">
        <v>10</v>
      </c>
      <c r="I57" s="4" t="s">
        <v>11</v>
      </c>
      <c r="J57" s="4" t="s">
        <v>12</v>
      </c>
      <c r="K57" s="4" t="s">
        <v>13</v>
      </c>
      <c r="L57" s="4" t="s">
        <v>14</v>
      </c>
      <c r="M57" s="4" t="s">
        <v>15</v>
      </c>
      <c r="N57" s="4" t="s">
        <v>16</v>
      </c>
      <c r="O57" s="4" t="s">
        <v>17</v>
      </c>
    </row>
    <row r="58" customFormat="false" ht="18" hidden="false" customHeight="true" outlineLevel="0" collapsed="false">
      <c r="A58" s="5" t="s">
        <v>63</v>
      </c>
      <c r="B58" s="6" t="n">
        <f aca="false">SUM(Énergie!B5:B8)</f>
        <v>32260</v>
      </c>
      <c r="C58" s="6" t="n">
        <f aca="false">SUM(Énergie!B9:B12)</f>
        <v>32250</v>
      </c>
      <c r="D58" s="6" t="n">
        <f aca="false">SUM(Énergie!B13:B16)</f>
        <v>31440</v>
      </c>
      <c r="E58" s="6" t="n">
        <f aca="false">SUM(Énergie!B17:B20)</f>
        <v>30740</v>
      </c>
      <c r="F58" s="6" t="n">
        <f aca="false">SUM(Énergie!B21:B24)</f>
        <v>30110</v>
      </c>
      <c r="G58" s="6" t="n">
        <f aca="false">SUM(Énergie!B25:B28)</f>
        <v>30060</v>
      </c>
      <c r="H58" s="6" t="n">
        <f aca="false">SUM(Énergie!B29:B32)</f>
        <v>29580</v>
      </c>
      <c r="I58" s="6" t="n">
        <f aca="false">SUM(Énergie!B33:B36)</f>
        <v>29030</v>
      </c>
      <c r="J58" s="6" t="n">
        <f aca="false">SUM(Énergie!B37:B40)</f>
        <v>29440</v>
      </c>
      <c r="K58" s="6" t="n">
        <f aca="false">SUM(Énergie!B41:B44)</f>
        <v>30590</v>
      </c>
      <c r="L58" s="6" t="n">
        <f aca="false">SUM(Énergie!B45:B48)</f>
        <v>31240</v>
      </c>
      <c r="M58" s="6" t="n">
        <f aca="false">SUM(Énergie!B49:B52)</f>
        <v>31670</v>
      </c>
      <c r="N58" s="7" t="n">
        <f aca="false">SUM(B58:M58)</f>
        <v>368410</v>
      </c>
      <c r="O58" s="8" t="n">
        <f aca="false">IF(B58&lt;&gt;0,(M58-B58)/B58,0)</f>
        <v>-0.0182889026658401</v>
      </c>
    </row>
    <row r="59" customFormat="false" ht="18" hidden="false" customHeight="true" outlineLevel="0" collapsed="false">
      <c r="A59" s="5" t="s">
        <v>64</v>
      </c>
      <c r="B59" s="6" t="n">
        <f aca="false">SUM(Énergie!C5:C8)</f>
        <v>4863</v>
      </c>
      <c r="C59" s="6" t="n">
        <f aca="false">SUM(Énergie!C9:C12)</f>
        <v>4903</v>
      </c>
      <c r="D59" s="6" t="n">
        <f aca="false">SUM(Énergie!C13:C16)</f>
        <v>4390</v>
      </c>
      <c r="E59" s="6" t="n">
        <f aca="false">SUM(Énergie!C17:C20)</f>
        <v>3984</v>
      </c>
      <c r="F59" s="6" t="n">
        <f aca="false">SUM(Énergie!C21:C24)</f>
        <v>3658</v>
      </c>
      <c r="G59" s="6" t="n">
        <f aca="false">SUM(Énergie!C25:C28)</f>
        <v>3394</v>
      </c>
      <c r="H59" s="6" t="n">
        <f aca="false">SUM(Énergie!C29:C32)</f>
        <v>2759</v>
      </c>
      <c r="I59" s="6" t="n">
        <f aca="false">SUM(Énergie!C33:C36)</f>
        <v>2610</v>
      </c>
      <c r="J59" s="6" t="n">
        <f aca="false">SUM(Énergie!C37:C40)</f>
        <v>2831</v>
      </c>
      <c r="K59" s="6" t="n">
        <f aca="false">SUM(Énergie!C41:C44)</f>
        <v>3259</v>
      </c>
      <c r="L59" s="6" t="n">
        <f aca="false">SUM(Énergie!C45:C48)</f>
        <v>3634</v>
      </c>
      <c r="M59" s="6" t="n">
        <f aca="false">SUM(Énergie!C49:C52)</f>
        <v>3918</v>
      </c>
      <c r="N59" s="7" t="n">
        <f aca="false">SUM(B59:M59)</f>
        <v>44203</v>
      </c>
      <c r="O59" s="8" t="n">
        <f aca="false">IF(B59&lt;&gt;0,(M59-B59)/B59,0)</f>
        <v>-0.194324491054904</v>
      </c>
    </row>
    <row r="60" customFormat="false" ht="18" hidden="false" customHeight="true" outlineLevel="0" collapsed="false">
      <c r="A60" s="5" t="s">
        <v>65</v>
      </c>
      <c r="B60" s="6" t="n">
        <f aca="false">SUM(Énergie!D5:D8)</f>
        <v>1684</v>
      </c>
      <c r="C60" s="6" t="n">
        <f aca="false">SUM(Énergie!D9:D12)</f>
        <v>1711</v>
      </c>
      <c r="D60" s="6" t="n">
        <f aca="false">SUM(Énergie!D13:D16)</f>
        <v>1697</v>
      </c>
      <c r="E60" s="6" t="n">
        <f aca="false">SUM(Énergie!D17:D20)</f>
        <v>1689</v>
      </c>
      <c r="F60" s="6" t="n">
        <f aca="false">SUM(Énergie!D21:D24)</f>
        <v>1644</v>
      </c>
      <c r="G60" s="6" t="n">
        <f aca="false">SUM(Énergie!D25:D28)</f>
        <v>1698</v>
      </c>
      <c r="H60" s="6" t="n">
        <f aca="false">SUM(Énergie!D29:D32)</f>
        <v>1529</v>
      </c>
      <c r="I60" s="6" t="n">
        <f aca="false">SUM(Énergie!D33:D36)</f>
        <v>1351</v>
      </c>
      <c r="J60" s="6" t="n">
        <f aca="false">SUM(Énergie!D37:D40)</f>
        <v>1451</v>
      </c>
      <c r="K60" s="6" t="n">
        <f aca="false">SUM(Énergie!D41:D44)</f>
        <v>1435</v>
      </c>
      <c r="L60" s="6" t="n">
        <f aca="false">SUM(Énergie!D45:D48)</f>
        <v>1386</v>
      </c>
      <c r="M60" s="6" t="n">
        <f aca="false">SUM(Énergie!D49:D52)</f>
        <v>1287</v>
      </c>
      <c r="N60" s="7" t="n">
        <f aca="false">SUM(B60:M60)</f>
        <v>18562</v>
      </c>
      <c r="O60" s="8" t="n">
        <f aca="false">IF(B60&lt;&gt;0,(M60-B60)/B60,0)</f>
        <v>-0.235748218527316</v>
      </c>
    </row>
    <row r="61" customFormat="false" ht="18" hidden="false" customHeight="true" outlineLevel="0" collapsed="false">
      <c r="A61" s="5" t="s">
        <v>66</v>
      </c>
      <c r="B61" s="10" t="n">
        <f aca="false">SUM(Énergie!E5:E8)</f>
        <v>5484</v>
      </c>
      <c r="C61" s="10" t="n">
        <f aca="false">SUM(Énergie!E9:E12)</f>
        <v>5515</v>
      </c>
      <c r="D61" s="10" t="n">
        <f aca="false">SUM(Énergie!E13:E16)</f>
        <v>5534</v>
      </c>
      <c r="E61" s="10" t="n">
        <f aca="false">SUM(Énergie!E17:E20)</f>
        <v>6087</v>
      </c>
      <c r="F61" s="10" t="n">
        <f aca="false">SUM(Énergie!E21:E24)</f>
        <v>6654</v>
      </c>
      <c r="G61" s="10" t="n">
        <f aca="false">SUM(Énergie!E25:E28)</f>
        <v>7304</v>
      </c>
      <c r="H61" s="10" t="n">
        <f aca="false">SUM(Énergie!E29:E32)</f>
        <v>7396</v>
      </c>
      <c r="I61" s="10" t="n">
        <f aca="false">SUM(Énergie!E33:E36)</f>
        <v>7344</v>
      </c>
      <c r="J61" s="10" t="n">
        <f aca="false">SUM(Énergie!E37:E40)</f>
        <v>7537</v>
      </c>
      <c r="K61" s="10" t="n">
        <f aca="false">SUM(Énergie!E41:E44)</f>
        <v>7923</v>
      </c>
      <c r="L61" s="10" t="n">
        <f aca="false">SUM(Énergie!E45:E48)</f>
        <v>8185</v>
      </c>
      <c r="M61" s="10" t="n">
        <f aca="false">SUM(Énergie!E49:E52)</f>
        <v>8392</v>
      </c>
      <c r="N61" s="11" t="n">
        <f aca="false">SUM(B61:M61)</f>
        <v>83355</v>
      </c>
      <c r="O61" s="8" t="n">
        <f aca="false">IF(B61&lt;&gt;0,(M61-B61)/B61,0)</f>
        <v>0.530269876002918</v>
      </c>
    </row>
    <row r="62" customFormat="false" ht="18" hidden="false" customHeight="true" outlineLevel="0" collapsed="false">
      <c r="A62" s="5" t="s">
        <v>67</v>
      </c>
      <c r="B62" s="10" t="n">
        <f aca="false">SUM(Énergie!F5:F8)</f>
        <v>4377</v>
      </c>
      <c r="C62" s="10" t="n">
        <f aca="false">SUM(Énergie!F9:F12)</f>
        <v>4461</v>
      </c>
      <c r="D62" s="10" t="n">
        <f aca="false">SUM(Énergie!F13:F16)</f>
        <v>4214</v>
      </c>
      <c r="E62" s="10" t="n">
        <f aca="false">SUM(Énergie!F17:F20)</f>
        <v>4462</v>
      </c>
      <c r="F62" s="10" t="n">
        <f aca="false">SUM(Énergie!F21:F24)</f>
        <v>4793</v>
      </c>
      <c r="G62" s="10" t="n">
        <f aca="false">SUM(Énergie!F25:F28)</f>
        <v>5160</v>
      </c>
      <c r="H62" s="10" t="n">
        <f aca="false">SUM(Énergie!F29:F32)</f>
        <v>4414</v>
      </c>
      <c r="I62" s="10" t="n">
        <f aca="false">SUM(Énergie!F33:F36)</f>
        <v>4254</v>
      </c>
      <c r="J62" s="10" t="n">
        <f aca="false">SUM(Énergie!F37:F40)</f>
        <v>4700</v>
      </c>
      <c r="K62" s="10" t="n">
        <f aca="false">SUM(Énergie!F41:F44)</f>
        <v>5507</v>
      </c>
      <c r="L62" s="10" t="n">
        <f aca="false">SUM(Énergie!F45:F48)</f>
        <v>6214</v>
      </c>
      <c r="M62" s="10" t="n">
        <f aca="false">SUM(Énergie!F49:F52)</f>
        <v>6817</v>
      </c>
      <c r="N62" s="11" t="n">
        <f aca="false">SUM(B62:M62)</f>
        <v>59373</v>
      </c>
      <c r="O62" s="8" t="n">
        <f aca="false">IF(B62&lt;&gt;0,(M62-B62)/B62,0)</f>
        <v>0.557459447109893</v>
      </c>
    </row>
    <row r="63" customFormat="false" ht="18" hidden="false" customHeight="true" outlineLevel="0" collapsed="false">
      <c r="A63" s="5" t="s">
        <v>68</v>
      </c>
      <c r="B63" s="10" t="n">
        <f aca="false">SUM(Énergie!G5:G8)</f>
        <v>3368</v>
      </c>
      <c r="C63" s="10" t="n">
        <f aca="false">SUM(Énergie!G9:G12)</f>
        <v>3422</v>
      </c>
      <c r="D63" s="10" t="n">
        <f aca="false">SUM(Énergie!G13:G16)</f>
        <v>3394</v>
      </c>
      <c r="E63" s="10" t="n">
        <f aca="false">SUM(Énergie!G17:G20)</f>
        <v>3378</v>
      </c>
      <c r="F63" s="10" t="n">
        <f aca="false">SUM(Énergie!G21:G24)</f>
        <v>3288</v>
      </c>
      <c r="G63" s="10" t="n">
        <f aca="false">SUM(Énergie!G25:G28)</f>
        <v>3396</v>
      </c>
      <c r="H63" s="10" t="n">
        <f aca="false">SUM(Énergie!G29:G32)</f>
        <v>3058</v>
      </c>
      <c r="I63" s="10" t="n">
        <f aca="false">SUM(Énergie!G33:G36)</f>
        <v>2702</v>
      </c>
      <c r="J63" s="10" t="n">
        <f aca="false">SUM(Énergie!G37:G40)</f>
        <v>2902</v>
      </c>
      <c r="K63" s="10" t="n">
        <f aca="false">SUM(Énergie!G41:G44)</f>
        <v>2870</v>
      </c>
      <c r="L63" s="10" t="n">
        <f aca="false">SUM(Énergie!G45:G48)</f>
        <v>2772</v>
      </c>
      <c r="M63" s="10" t="n">
        <f aca="false">SUM(Énergie!G49:G52)</f>
        <v>2574</v>
      </c>
      <c r="N63" s="11" t="n">
        <f aca="false">SUM(B63:M63)</f>
        <v>37124</v>
      </c>
      <c r="O63" s="8" t="n">
        <f aca="false">IF(B63&lt;&gt;0,(M63-B63)/B63,0)</f>
        <v>-0.235748218527316</v>
      </c>
    </row>
    <row r="64" customFormat="false" ht="18" hidden="false" customHeight="true" outlineLevel="0" collapsed="false">
      <c r="A64" s="12" t="s">
        <v>69</v>
      </c>
      <c r="B64" s="11" t="n">
        <f aca="false">SUM(B61:B63)</f>
        <v>13229</v>
      </c>
      <c r="C64" s="11" t="n">
        <f aca="false">SUM(C61:C63)</f>
        <v>13398</v>
      </c>
      <c r="D64" s="11" t="n">
        <f aca="false">SUM(D61:D63)</f>
        <v>13142</v>
      </c>
      <c r="E64" s="11" t="n">
        <f aca="false">SUM(E61:E63)</f>
        <v>13927</v>
      </c>
      <c r="F64" s="11" t="n">
        <f aca="false">SUM(F61:F63)</f>
        <v>14735</v>
      </c>
      <c r="G64" s="11" t="n">
        <f aca="false">SUM(G61:G63)</f>
        <v>15860</v>
      </c>
      <c r="H64" s="11" t="n">
        <f aca="false">SUM(H61:H63)</f>
        <v>14868</v>
      </c>
      <c r="I64" s="11" t="n">
        <f aca="false">SUM(I61:I63)</f>
        <v>14300</v>
      </c>
      <c r="J64" s="11" t="n">
        <f aca="false">SUM(J61:J63)</f>
        <v>15139</v>
      </c>
      <c r="K64" s="11" t="n">
        <f aca="false">SUM(K61:K63)</f>
        <v>16300</v>
      </c>
      <c r="L64" s="11" t="n">
        <f aca="false">SUM(L61:L63)</f>
        <v>17171</v>
      </c>
      <c r="M64" s="11" t="n">
        <f aca="false">SUM(M61:M63)</f>
        <v>17783</v>
      </c>
      <c r="N64" s="11" t="n">
        <f aca="false">SUM(B64:M64)</f>
        <v>179852</v>
      </c>
      <c r="O64" s="8" t="n">
        <f aca="false">IF(B64&lt;&gt;0,(M64-B64)/B64,0)</f>
        <v>0.344243707007332</v>
      </c>
    </row>
    <row r="65" customFormat="false" ht="18" hidden="false" customHeight="true" outlineLevel="0" collapsed="false">
      <c r="A65" s="5" t="s">
        <v>70</v>
      </c>
      <c r="B65" s="17" t="n">
        <f aca="false">IF(B58&lt;&gt;0,B61/B58,0)</f>
        <v>0.169993800371978</v>
      </c>
      <c r="C65" s="17" t="n">
        <f aca="false">IF(C58&lt;&gt;0,C61/C58,0)</f>
        <v>0.171007751937985</v>
      </c>
      <c r="D65" s="17" t="n">
        <f aca="false">IF(D58&lt;&gt;0,D61/D58,0)</f>
        <v>0.176017811704835</v>
      </c>
      <c r="E65" s="17" t="n">
        <f aca="false">IF(E58&lt;&gt;0,E61/E58,0)</f>
        <v>0.198015614834092</v>
      </c>
      <c r="F65" s="17" t="n">
        <f aca="false">IF(F58&lt;&gt;0,F61/F58,0)</f>
        <v>0.220989704417137</v>
      </c>
      <c r="G65" s="17" t="n">
        <f aca="false">IF(G58&lt;&gt;0,G61/G58,0)</f>
        <v>0.242980705256154</v>
      </c>
      <c r="H65" s="17" t="n">
        <f aca="false">IF(H58&lt;&gt;0,H61/H58,0)</f>
        <v>0.250033806626099</v>
      </c>
      <c r="I65" s="17" t="n">
        <f aca="false">IF(I58&lt;&gt;0,I61/I58,0)</f>
        <v>0.252979676197038</v>
      </c>
      <c r="J65" s="17" t="n">
        <f aca="false">IF(J58&lt;&gt;0,J61/J58,0)</f>
        <v>0.25601222826087</v>
      </c>
      <c r="K65" s="17" t="n">
        <f aca="false">IF(K58&lt;&gt;0,K61/K58,0)</f>
        <v>0.259006211180124</v>
      </c>
      <c r="L65" s="17" t="n">
        <f aca="false">IF(L58&lt;&gt;0,L61/L58,0)</f>
        <v>0.262003841229193</v>
      </c>
      <c r="M65" s="17" t="n">
        <f aca="false">IF(M58&lt;&gt;0,M61/M58,0)</f>
        <v>0.26498263340701</v>
      </c>
      <c r="N65" s="18" t="n">
        <f aca="false">IF(N58&lt;&gt;0,N61/N58,0)</f>
        <v>0.226256073396488</v>
      </c>
      <c r="O65" s="8" t="n">
        <f aca="false">IF(B65&lt;&gt;0,(M65-B65)/B65,0)</f>
        <v>0.558778219130222</v>
      </c>
    </row>
    <row r="66" customFormat="false" ht="18" hidden="false" customHeight="true" outlineLevel="0" collapsed="false">
      <c r="A66" s="5" t="s">
        <v>71</v>
      </c>
      <c r="B66" s="19" t="n">
        <f aca="false">IF(B59&lt;&gt;0,B62/B59,0)</f>
        <v>0.900061690314621</v>
      </c>
      <c r="C66" s="19" t="n">
        <f aca="false">IF(C59&lt;&gt;0,C62/C59,0)</f>
        <v>0.909851111564348</v>
      </c>
      <c r="D66" s="19" t="n">
        <f aca="false">IF(D59&lt;&gt;0,D62/D59,0)</f>
        <v>0.959908883826879</v>
      </c>
      <c r="E66" s="19" t="n">
        <f aca="false">IF(E59&lt;&gt;0,E62/E59,0)</f>
        <v>1.11997991967871</v>
      </c>
      <c r="F66" s="19" t="n">
        <f aca="false">IF(F59&lt;&gt;0,F62/F59,0)</f>
        <v>1.31027884089666</v>
      </c>
      <c r="G66" s="19" t="n">
        <f aca="false">IF(G59&lt;&gt;0,G62/G59,0)</f>
        <v>1.52032999410725</v>
      </c>
      <c r="H66" s="19" t="n">
        <f aca="false">IF(H59&lt;&gt;0,H62/H59,0)</f>
        <v>1.59985501993476</v>
      </c>
      <c r="I66" s="19" t="n">
        <f aca="false">IF(I59&lt;&gt;0,I62/I59,0)</f>
        <v>1.62988505747126</v>
      </c>
      <c r="J66" s="19" t="n">
        <f aca="false">IF(J59&lt;&gt;0,J62/J59,0)</f>
        <v>1.66019074531968</v>
      </c>
      <c r="K66" s="19" t="n">
        <f aca="false">IF(K59&lt;&gt;0,K62/K59,0)</f>
        <v>1.68978214176128</v>
      </c>
      <c r="L66" s="19" t="n">
        <f aca="false">IF(L59&lt;&gt;0,L62/L59,0)</f>
        <v>1.70996147495872</v>
      </c>
      <c r="M66" s="19" t="n">
        <f aca="false">IF(M59&lt;&gt;0,M62/M59,0)</f>
        <v>1.73991832567637</v>
      </c>
      <c r="N66" s="20" t="n">
        <f aca="false">IF(N59&lt;&gt;0,N62/N59,0)</f>
        <v>1.34318937628668</v>
      </c>
      <c r="O66" s="8" t="n">
        <f aca="false">IF(B66&lt;&gt;0,(M66-B66)/B66,0)</f>
        <v>0.933110079452631</v>
      </c>
    </row>
  </sheetData>
  <mergeCells count="7">
    <mergeCell ref="A1:O1"/>
    <mergeCell ref="A2:O2"/>
    <mergeCell ref="A4:O4"/>
    <mergeCell ref="A18:O18"/>
    <mergeCell ref="A40:O40"/>
    <mergeCell ref="A49:O49"/>
    <mergeCell ref="A56:O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2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34.5" hidden="false" customHeight="true" outlineLevel="0" collapsed="false">
      <c r="A1" s="21" t="s">
        <v>72</v>
      </c>
      <c r="B1" s="21"/>
      <c r="C1" s="21"/>
      <c r="D1" s="21"/>
      <c r="E1" s="21"/>
      <c r="F1" s="21"/>
      <c r="G1" s="21"/>
      <c r="H1" s="21"/>
    </row>
    <row r="3" customFormat="false" ht="21.75" hidden="false" customHeight="true" outlineLevel="0" collapsed="false">
      <c r="A3" s="22" t="s">
        <v>73</v>
      </c>
      <c r="B3" s="22"/>
      <c r="C3" s="22"/>
      <c r="D3" s="22"/>
      <c r="E3" s="22"/>
      <c r="F3" s="22"/>
      <c r="G3" s="22"/>
      <c r="H3" s="22"/>
    </row>
    <row r="4" customFormat="false" ht="21.75" hidden="false" customHeight="true" outlineLevel="0" collapsed="false">
      <c r="A4" s="4" t="s">
        <v>74</v>
      </c>
      <c r="B4" s="4" t="s">
        <v>75</v>
      </c>
      <c r="C4" s="4" t="s">
        <v>76</v>
      </c>
      <c r="D4" s="4" t="s">
        <v>77</v>
      </c>
      <c r="E4" s="4" t="s">
        <v>78</v>
      </c>
      <c r="F4" s="4" t="s">
        <v>79</v>
      </c>
      <c r="G4" s="4" t="s">
        <v>80</v>
      </c>
      <c r="H4" s="4" t="s">
        <v>81</v>
      </c>
    </row>
    <row r="5" customFormat="false" ht="15" hidden="false" customHeight="false" outlineLevel="0" collapsed="false">
      <c r="A5" s="5" t="s">
        <v>82</v>
      </c>
      <c r="B5" s="6" t="n">
        <v>840</v>
      </c>
      <c r="C5" s="6" t="n">
        <v>348</v>
      </c>
      <c r="D5" s="6" t="n">
        <v>200</v>
      </c>
      <c r="E5" s="6" t="n">
        <v>494</v>
      </c>
      <c r="F5" s="6" t="n">
        <v>115</v>
      </c>
      <c r="G5" s="7" t="n">
        <f aca="false">SUM(B5:F5)</f>
        <v>1997</v>
      </c>
      <c r="H5" s="9" t="n">
        <v>0.74</v>
      </c>
    </row>
    <row r="6" customFormat="false" ht="15" hidden="false" customHeight="false" outlineLevel="0" collapsed="false">
      <c r="A6" s="5" t="s">
        <v>83</v>
      </c>
      <c r="B6" s="6" t="n">
        <v>868</v>
      </c>
      <c r="C6" s="6" t="n">
        <v>345</v>
      </c>
      <c r="D6" s="6" t="n">
        <v>191</v>
      </c>
      <c r="E6" s="6" t="n">
        <v>501</v>
      </c>
      <c r="F6" s="6" t="n">
        <v>116</v>
      </c>
      <c r="G6" s="7" t="n">
        <f aca="false">SUM(B6:F6)</f>
        <v>2021</v>
      </c>
      <c r="H6" s="9" t="n">
        <v>0.753</v>
      </c>
    </row>
    <row r="7" customFormat="false" ht="15" hidden="false" customHeight="false" outlineLevel="0" collapsed="false">
      <c r="A7" s="5" t="s">
        <v>84</v>
      </c>
      <c r="B7" s="6" t="n">
        <v>848</v>
      </c>
      <c r="C7" s="6" t="n">
        <v>357</v>
      </c>
      <c r="D7" s="6" t="n">
        <v>192</v>
      </c>
      <c r="E7" s="6" t="n">
        <v>489</v>
      </c>
      <c r="F7" s="6" t="n">
        <v>114</v>
      </c>
      <c r="G7" s="7" t="n">
        <f aca="false">SUM(B7:F7)</f>
        <v>2000</v>
      </c>
      <c r="H7" s="9" t="n">
        <v>0.738</v>
      </c>
    </row>
    <row r="8" customFormat="false" ht="15" hidden="false" customHeight="false" outlineLevel="0" collapsed="false">
      <c r="A8" s="5" t="s">
        <v>85</v>
      </c>
      <c r="B8" s="6" t="n">
        <v>837</v>
      </c>
      <c r="C8" s="6" t="n">
        <v>353</v>
      </c>
      <c r="D8" s="6" t="n">
        <v>194</v>
      </c>
      <c r="E8" s="6" t="n">
        <v>495</v>
      </c>
      <c r="F8" s="6" t="n">
        <v>127</v>
      </c>
      <c r="G8" s="7" t="n">
        <f aca="false">SUM(B8:F8)</f>
        <v>2006</v>
      </c>
      <c r="H8" s="9" t="n">
        <v>0.743</v>
      </c>
    </row>
    <row r="9" customFormat="false" ht="15" hidden="false" customHeight="false" outlineLevel="0" collapsed="false">
      <c r="A9" s="12" t="s">
        <v>86</v>
      </c>
      <c r="B9" s="7" t="n">
        <f aca="false">SUM(B5:B8)</f>
        <v>3393</v>
      </c>
      <c r="C9" s="7" t="n">
        <f aca="false">SUM(C5:C8)</f>
        <v>1403</v>
      </c>
      <c r="D9" s="7" t="n">
        <f aca="false">SUM(D5:D8)</f>
        <v>777</v>
      </c>
      <c r="E9" s="7" t="n">
        <f aca="false">SUM(E5:E8)</f>
        <v>1979</v>
      </c>
      <c r="F9" s="7" t="n">
        <f aca="false">SUM(F5:F8)</f>
        <v>472</v>
      </c>
      <c r="G9" s="7" t="n">
        <f aca="false">SUM(G5:G8)</f>
        <v>8024</v>
      </c>
      <c r="H9" s="8" t="n">
        <f aca="false">AVERAGE(H5:H8)</f>
        <v>0.7435</v>
      </c>
    </row>
    <row r="11" customFormat="false" ht="21.75" hidden="false" customHeight="true" outlineLevel="0" collapsed="false">
      <c r="A11" s="22" t="s">
        <v>87</v>
      </c>
      <c r="B11" s="22"/>
      <c r="C11" s="22"/>
      <c r="D11" s="22"/>
      <c r="E11" s="22"/>
      <c r="F11" s="22"/>
      <c r="G11" s="22"/>
      <c r="H11" s="22"/>
    </row>
    <row r="12" customFormat="false" ht="21.75" hidden="false" customHeight="true" outlineLevel="0" collapsed="false">
      <c r="A12" s="4" t="s">
        <v>74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80</v>
      </c>
      <c r="H12" s="4" t="s">
        <v>81</v>
      </c>
    </row>
    <row r="13" customFormat="false" ht="15" hidden="false" customHeight="false" outlineLevel="0" collapsed="false">
      <c r="A13" s="5" t="s">
        <v>88</v>
      </c>
      <c r="B13" s="6" t="n">
        <v>852</v>
      </c>
      <c r="C13" s="6" t="n">
        <v>436</v>
      </c>
      <c r="D13" s="6" t="n">
        <v>172</v>
      </c>
      <c r="E13" s="6" t="n">
        <v>521</v>
      </c>
      <c r="F13" s="6" t="n">
        <v>134</v>
      </c>
      <c r="G13" s="7" t="n">
        <f aca="false">SUM(B13:F13)</f>
        <v>2115</v>
      </c>
      <c r="H13" s="9" t="n">
        <v>0.782</v>
      </c>
    </row>
    <row r="14" customFormat="false" ht="15" hidden="false" customHeight="false" outlineLevel="0" collapsed="false">
      <c r="A14" s="5" t="s">
        <v>89</v>
      </c>
      <c r="B14" s="6" t="n">
        <v>834</v>
      </c>
      <c r="C14" s="6" t="n">
        <v>408</v>
      </c>
      <c r="D14" s="6" t="n">
        <v>171</v>
      </c>
      <c r="E14" s="6" t="n">
        <v>495</v>
      </c>
      <c r="F14" s="6" t="n">
        <v>129</v>
      </c>
      <c r="G14" s="7" t="n">
        <f aca="false">SUM(B14:F14)</f>
        <v>2037</v>
      </c>
      <c r="H14" s="9" t="n">
        <v>0.748</v>
      </c>
    </row>
    <row r="15" customFormat="false" ht="15" hidden="false" customHeight="false" outlineLevel="0" collapsed="false">
      <c r="A15" s="5" t="s">
        <v>90</v>
      </c>
      <c r="B15" s="6" t="n">
        <v>789</v>
      </c>
      <c r="C15" s="6" t="n">
        <v>428</v>
      </c>
      <c r="D15" s="6" t="n">
        <v>171</v>
      </c>
      <c r="E15" s="6" t="n">
        <v>504</v>
      </c>
      <c r="F15" s="6" t="n">
        <v>146</v>
      </c>
      <c r="G15" s="7" t="n">
        <f aca="false">SUM(B15:F15)</f>
        <v>2038</v>
      </c>
      <c r="H15" s="9" t="n">
        <v>0.752</v>
      </c>
    </row>
    <row r="16" customFormat="false" ht="15" hidden="false" customHeight="false" outlineLevel="0" collapsed="false">
      <c r="A16" s="5" t="s">
        <v>91</v>
      </c>
      <c r="B16" s="6" t="n">
        <v>817</v>
      </c>
      <c r="C16" s="6" t="n">
        <v>403</v>
      </c>
      <c r="D16" s="6" t="n">
        <v>175</v>
      </c>
      <c r="E16" s="6" t="n">
        <v>510</v>
      </c>
      <c r="F16" s="6" t="n">
        <v>143</v>
      </c>
      <c r="G16" s="7" t="n">
        <f aca="false">SUM(B16:F16)</f>
        <v>2048</v>
      </c>
      <c r="H16" s="9" t="n">
        <v>0.751</v>
      </c>
    </row>
    <row r="17" customFormat="false" ht="15" hidden="false" customHeight="false" outlineLevel="0" collapsed="false">
      <c r="A17" s="12" t="s">
        <v>92</v>
      </c>
      <c r="B17" s="7" t="n">
        <f aca="false">SUM(B13:B16)</f>
        <v>3292</v>
      </c>
      <c r="C17" s="7" t="n">
        <f aca="false">SUM(C13:C16)</f>
        <v>1675</v>
      </c>
      <c r="D17" s="7" t="n">
        <f aca="false">SUM(D13:D16)</f>
        <v>689</v>
      </c>
      <c r="E17" s="7" t="n">
        <f aca="false">SUM(E13:E16)</f>
        <v>2030</v>
      </c>
      <c r="F17" s="7" t="n">
        <f aca="false">SUM(F13:F16)</f>
        <v>552</v>
      </c>
      <c r="G17" s="7" t="n">
        <f aca="false">SUM(G13:G16)</f>
        <v>8238</v>
      </c>
      <c r="H17" s="8" t="n">
        <f aca="false">AVERAGE(H13:H16)</f>
        <v>0.75825</v>
      </c>
    </row>
    <row r="19" customFormat="false" ht="21.75" hidden="false" customHeight="true" outlineLevel="0" collapsed="false">
      <c r="A19" s="22" t="s">
        <v>93</v>
      </c>
      <c r="B19" s="22"/>
      <c r="C19" s="22"/>
      <c r="D19" s="22"/>
      <c r="E19" s="22"/>
      <c r="F19" s="22"/>
      <c r="G19" s="22"/>
      <c r="H19" s="22"/>
    </row>
    <row r="20" customFormat="false" ht="21.75" hidden="false" customHeight="true" outlineLevel="0" collapsed="false">
      <c r="A20" s="4" t="s">
        <v>74</v>
      </c>
      <c r="B20" s="4" t="s">
        <v>75</v>
      </c>
      <c r="C20" s="4" t="s">
        <v>76</v>
      </c>
      <c r="D20" s="4" t="s">
        <v>77</v>
      </c>
      <c r="E20" s="4" t="s">
        <v>78</v>
      </c>
      <c r="F20" s="4" t="s">
        <v>79</v>
      </c>
      <c r="G20" s="4" t="s">
        <v>80</v>
      </c>
      <c r="H20" s="4" t="s">
        <v>81</v>
      </c>
    </row>
    <row r="21" customFormat="false" ht="15" hidden="false" customHeight="false" outlineLevel="0" collapsed="false">
      <c r="A21" s="5" t="s">
        <v>94</v>
      </c>
      <c r="B21" s="6" t="n">
        <v>833</v>
      </c>
      <c r="C21" s="6" t="n">
        <v>340</v>
      </c>
      <c r="D21" s="6" t="n">
        <v>206</v>
      </c>
      <c r="E21" s="6" t="n">
        <v>513</v>
      </c>
      <c r="F21" s="6" t="n">
        <v>133</v>
      </c>
      <c r="G21" s="7" t="n">
        <f aca="false">SUM(B21:F21)</f>
        <v>2025</v>
      </c>
      <c r="H21" s="9" t="n">
        <v>0.748</v>
      </c>
    </row>
    <row r="22" customFormat="false" ht="15" hidden="false" customHeight="false" outlineLevel="0" collapsed="false">
      <c r="A22" s="5" t="s">
        <v>95</v>
      </c>
      <c r="B22" s="6" t="n">
        <v>862</v>
      </c>
      <c r="C22" s="6" t="n">
        <v>345</v>
      </c>
      <c r="D22" s="6" t="n">
        <v>203</v>
      </c>
      <c r="E22" s="6" t="n">
        <v>517</v>
      </c>
      <c r="F22" s="6" t="n">
        <v>135</v>
      </c>
      <c r="G22" s="7" t="n">
        <f aca="false">SUM(B22:F22)</f>
        <v>2062</v>
      </c>
      <c r="H22" s="9" t="n">
        <v>0.758</v>
      </c>
    </row>
    <row r="23" customFormat="false" ht="15" hidden="false" customHeight="false" outlineLevel="0" collapsed="false">
      <c r="A23" s="5" t="s">
        <v>96</v>
      </c>
      <c r="B23" s="6" t="n">
        <v>862</v>
      </c>
      <c r="C23" s="6" t="n">
        <v>351</v>
      </c>
      <c r="D23" s="6" t="n">
        <v>197</v>
      </c>
      <c r="E23" s="6" t="n">
        <v>514</v>
      </c>
      <c r="F23" s="6" t="n">
        <v>130</v>
      </c>
      <c r="G23" s="7" t="n">
        <f aca="false">SUM(B23:F23)</f>
        <v>2054</v>
      </c>
      <c r="H23" s="9" t="n">
        <v>0.758</v>
      </c>
    </row>
    <row r="24" customFormat="false" ht="15" hidden="false" customHeight="false" outlineLevel="0" collapsed="false">
      <c r="A24" s="5" t="s">
        <v>97</v>
      </c>
      <c r="B24" s="6" t="n">
        <v>822</v>
      </c>
      <c r="C24" s="6" t="n">
        <v>333</v>
      </c>
      <c r="D24" s="6" t="n">
        <v>197</v>
      </c>
      <c r="E24" s="6" t="n">
        <v>510</v>
      </c>
      <c r="F24" s="6" t="n">
        <v>131</v>
      </c>
      <c r="G24" s="7" t="n">
        <f aca="false">SUM(B24:F24)</f>
        <v>1993</v>
      </c>
      <c r="H24" s="9" t="n">
        <v>0.743</v>
      </c>
    </row>
    <row r="25" customFormat="false" ht="15" hidden="false" customHeight="false" outlineLevel="0" collapsed="false">
      <c r="A25" s="12" t="s">
        <v>98</v>
      </c>
      <c r="B25" s="7" t="n">
        <f aca="false">SUM(B21:B24)</f>
        <v>3379</v>
      </c>
      <c r="C25" s="7" t="n">
        <f aca="false">SUM(C21:C24)</f>
        <v>1369</v>
      </c>
      <c r="D25" s="7" t="n">
        <f aca="false">SUM(D21:D24)</f>
        <v>803</v>
      </c>
      <c r="E25" s="7" t="n">
        <f aca="false">SUM(E21:E24)</f>
        <v>2054</v>
      </c>
      <c r="F25" s="7" t="n">
        <f aca="false">SUM(F21:F24)</f>
        <v>529</v>
      </c>
      <c r="G25" s="7" t="n">
        <f aca="false">SUM(G21:G24)</f>
        <v>8134</v>
      </c>
      <c r="H25" s="8" t="n">
        <f aca="false">AVERAGE(H21:H24)</f>
        <v>0.75175</v>
      </c>
    </row>
    <row r="27" customFormat="false" ht="21.75" hidden="false" customHeight="true" outlineLevel="0" collapsed="false">
      <c r="A27" s="22" t="s">
        <v>99</v>
      </c>
      <c r="B27" s="22"/>
      <c r="C27" s="22"/>
      <c r="D27" s="22"/>
      <c r="E27" s="22"/>
      <c r="F27" s="22"/>
      <c r="G27" s="22"/>
      <c r="H27" s="22"/>
    </row>
    <row r="28" customFormat="false" ht="21.75" hidden="false" customHeight="true" outlineLevel="0" collapsed="false">
      <c r="A28" s="4" t="s">
        <v>74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79</v>
      </c>
      <c r="G28" s="4" t="s">
        <v>80</v>
      </c>
      <c r="H28" s="4" t="s">
        <v>81</v>
      </c>
    </row>
    <row r="29" customFormat="false" ht="15" hidden="false" customHeight="false" outlineLevel="0" collapsed="false">
      <c r="A29" s="5" t="s">
        <v>100</v>
      </c>
      <c r="B29" s="6" t="n">
        <v>814</v>
      </c>
      <c r="C29" s="6" t="n">
        <v>392</v>
      </c>
      <c r="D29" s="6" t="n">
        <v>156</v>
      </c>
      <c r="E29" s="6" t="n">
        <v>512</v>
      </c>
      <c r="F29" s="6" t="n">
        <v>136</v>
      </c>
      <c r="G29" s="7" t="n">
        <f aca="false">SUM(B29:F29)</f>
        <v>2010</v>
      </c>
      <c r="H29" s="9" t="n">
        <v>0.737</v>
      </c>
    </row>
    <row r="30" customFormat="false" ht="15" hidden="false" customHeight="false" outlineLevel="0" collapsed="false">
      <c r="A30" s="5" t="s">
        <v>101</v>
      </c>
      <c r="B30" s="6" t="n">
        <v>794</v>
      </c>
      <c r="C30" s="6" t="n">
        <v>414</v>
      </c>
      <c r="D30" s="6" t="n">
        <v>162</v>
      </c>
      <c r="E30" s="6" t="n">
        <v>517</v>
      </c>
      <c r="F30" s="6" t="n">
        <v>144</v>
      </c>
      <c r="G30" s="7" t="n">
        <f aca="false">SUM(B30:F30)</f>
        <v>2031</v>
      </c>
      <c r="H30" s="9" t="n">
        <v>0.759</v>
      </c>
    </row>
    <row r="31" customFormat="false" ht="15" hidden="false" customHeight="false" outlineLevel="0" collapsed="false">
      <c r="A31" s="5" t="s">
        <v>102</v>
      </c>
      <c r="B31" s="6" t="n">
        <v>808</v>
      </c>
      <c r="C31" s="6" t="n">
        <v>403</v>
      </c>
      <c r="D31" s="6" t="n">
        <v>158</v>
      </c>
      <c r="E31" s="6" t="n">
        <v>503</v>
      </c>
      <c r="F31" s="6" t="n">
        <v>138</v>
      </c>
      <c r="G31" s="7" t="n">
        <f aca="false">SUM(B31:F31)</f>
        <v>2010</v>
      </c>
      <c r="H31" s="9" t="n">
        <v>0.751</v>
      </c>
    </row>
    <row r="32" customFormat="false" ht="15" hidden="false" customHeight="false" outlineLevel="0" collapsed="false">
      <c r="A32" s="5" t="s">
        <v>103</v>
      </c>
      <c r="B32" s="6" t="n">
        <v>809</v>
      </c>
      <c r="C32" s="6" t="n">
        <v>403</v>
      </c>
      <c r="D32" s="6" t="n">
        <v>161</v>
      </c>
      <c r="E32" s="6" t="n">
        <v>513</v>
      </c>
      <c r="F32" s="6" t="n">
        <v>137</v>
      </c>
      <c r="G32" s="7" t="n">
        <f aca="false">SUM(B32:F32)</f>
        <v>2023</v>
      </c>
      <c r="H32" s="9" t="n">
        <v>0.752</v>
      </c>
    </row>
    <row r="33" customFormat="false" ht="15" hidden="false" customHeight="false" outlineLevel="0" collapsed="false">
      <c r="A33" s="12" t="s">
        <v>104</v>
      </c>
      <c r="B33" s="7" t="n">
        <f aca="false">SUM(B29:B32)</f>
        <v>3225</v>
      </c>
      <c r="C33" s="7" t="n">
        <f aca="false">SUM(C29:C32)</f>
        <v>1612</v>
      </c>
      <c r="D33" s="7" t="n">
        <f aca="false">SUM(D29:D32)</f>
        <v>637</v>
      </c>
      <c r="E33" s="7" t="n">
        <f aca="false">SUM(E29:E32)</f>
        <v>2045</v>
      </c>
      <c r="F33" s="7" t="n">
        <f aca="false">SUM(F29:F32)</f>
        <v>555</v>
      </c>
      <c r="G33" s="7" t="n">
        <f aca="false">SUM(G29:G32)</f>
        <v>8074</v>
      </c>
      <c r="H33" s="8" t="n">
        <f aca="false">AVERAGE(H29:H32)</f>
        <v>0.74975</v>
      </c>
    </row>
    <row r="35" customFormat="false" ht="21.75" hidden="false" customHeight="true" outlineLevel="0" collapsed="false">
      <c r="A35" s="22" t="s">
        <v>105</v>
      </c>
      <c r="B35" s="22"/>
      <c r="C35" s="22"/>
      <c r="D35" s="22"/>
      <c r="E35" s="22"/>
      <c r="F35" s="22"/>
      <c r="G35" s="22"/>
      <c r="H35" s="22"/>
    </row>
    <row r="36" customFormat="false" ht="21.75" hidden="false" customHeight="true" outlineLevel="0" collapsed="false">
      <c r="A36" s="4" t="s">
        <v>74</v>
      </c>
      <c r="B36" s="4" t="s">
        <v>75</v>
      </c>
      <c r="C36" s="4" t="s">
        <v>76</v>
      </c>
      <c r="D36" s="4" t="s">
        <v>77</v>
      </c>
      <c r="E36" s="4" t="s">
        <v>78</v>
      </c>
      <c r="F36" s="4" t="s">
        <v>79</v>
      </c>
      <c r="G36" s="4" t="s">
        <v>80</v>
      </c>
      <c r="H36" s="4" t="s">
        <v>81</v>
      </c>
    </row>
    <row r="37" customFormat="false" ht="15" hidden="false" customHeight="false" outlineLevel="0" collapsed="false">
      <c r="A37" s="5" t="s">
        <v>106</v>
      </c>
      <c r="B37" s="6" t="n">
        <v>771</v>
      </c>
      <c r="C37" s="6" t="n">
        <v>323</v>
      </c>
      <c r="D37" s="6" t="n">
        <v>179</v>
      </c>
      <c r="E37" s="6" t="n">
        <v>505</v>
      </c>
      <c r="F37" s="6" t="n">
        <v>140</v>
      </c>
      <c r="G37" s="7" t="n">
        <f aca="false">SUM(B37:F37)</f>
        <v>1918</v>
      </c>
      <c r="H37" s="9" t="n">
        <v>0.705</v>
      </c>
    </row>
    <row r="38" customFormat="false" ht="15" hidden="false" customHeight="false" outlineLevel="0" collapsed="false">
      <c r="A38" s="5" t="s">
        <v>107</v>
      </c>
      <c r="B38" s="6" t="n">
        <v>780</v>
      </c>
      <c r="C38" s="6" t="n">
        <v>322</v>
      </c>
      <c r="D38" s="6" t="n">
        <v>181</v>
      </c>
      <c r="E38" s="6" t="n">
        <v>496</v>
      </c>
      <c r="F38" s="6" t="n">
        <v>130</v>
      </c>
      <c r="G38" s="7" t="n">
        <f aca="false">SUM(B38:F38)</f>
        <v>1909</v>
      </c>
      <c r="H38" s="9" t="n">
        <v>0.702</v>
      </c>
    </row>
    <row r="39" customFormat="false" ht="15" hidden="false" customHeight="false" outlineLevel="0" collapsed="false">
      <c r="A39" s="5" t="s">
        <v>108</v>
      </c>
      <c r="B39" s="6" t="n">
        <v>775</v>
      </c>
      <c r="C39" s="6" t="n">
        <v>349</v>
      </c>
      <c r="D39" s="6" t="n">
        <v>184</v>
      </c>
      <c r="E39" s="6" t="n">
        <v>498</v>
      </c>
      <c r="F39" s="6" t="n">
        <v>144</v>
      </c>
      <c r="G39" s="7" t="n">
        <f aca="false">SUM(B39:F39)</f>
        <v>1950</v>
      </c>
      <c r="H39" s="9" t="n">
        <v>0.726</v>
      </c>
    </row>
    <row r="40" customFormat="false" ht="15" hidden="false" customHeight="false" outlineLevel="0" collapsed="false">
      <c r="A40" s="5" t="s">
        <v>109</v>
      </c>
      <c r="B40" s="6" t="n">
        <v>772</v>
      </c>
      <c r="C40" s="6" t="n">
        <v>347</v>
      </c>
      <c r="D40" s="6" t="n">
        <v>184</v>
      </c>
      <c r="E40" s="6" t="n">
        <v>495</v>
      </c>
      <c r="F40" s="6" t="n">
        <v>145</v>
      </c>
      <c r="G40" s="7" t="n">
        <f aca="false">SUM(B40:F40)</f>
        <v>1943</v>
      </c>
      <c r="H40" s="9" t="n">
        <v>0.721</v>
      </c>
    </row>
    <row r="41" customFormat="false" ht="15" hidden="false" customHeight="false" outlineLevel="0" collapsed="false">
      <c r="A41" s="12" t="s">
        <v>110</v>
      </c>
      <c r="B41" s="7" t="n">
        <f aca="false">SUM(B37:B40)</f>
        <v>3098</v>
      </c>
      <c r="C41" s="7" t="n">
        <f aca="false">SUM(C37:C40)</f>
        <v>1341</v>
      </c>
      <c r="D41" s="7" t="n">
        <f aca="false">SUM(D37:D40)</f>
        <v>728</v>
      </c>
      <c r="E41" s="7" t="n">
        <f aca="false">SUM(E37:E40)</f>
        <v>1994</v>
      </c>
      <c r="F41" s="7" t="n">
        <f aca="false">SUM(F37:F40)</f>
        <v>559</v>
      </c>
      <c r="G41" s="7" t="n">
        <f aca="false">SUM(G37:G40)</f>
        <v>7720</v>
      </c>
      <c r="H41" s="8" t="n">
        <f aca="false">AVERAGE(H37:H40)</f>
        <v>0.7135</v>
      </c>
    </row>
    <row r="43" customFormat="false" ht="21.75" hidden="false" customHeight="true" outlineLevel="0" collapsed="false">
      <c r="A43" s="22" t="s">
        <v>111</v>
      </c>
      <c r="B43" s="22"/>
      <c r="C43" s="22"/>
      <c r="D43" s="22"/>
      <c r="E43" s="22"/>
      <c r="F43" s="22"/>
      <c r="G43" s="22"/>
      <c r="H43" s="22"/>
    </row>
    <row r="44" customFormat="false" ht="21.75" hidden="false" customHeight="true" outlineLevel="0" collapsed="false">
      <c r="A44" s="4" t="s">
        <v>74</v>
      </c>
      <c r="B44" s="4" t="s">
        <v>75</v>
      </c>
      <c r="C44" s="4" t="s">
        <v>76</v>
      </c>
      <c r="D44" s="4" t="s">
        <v>77</v>
      </c>
      <c r="E44" s="4" t="s">
        <v>78</v>
      </c>
      <c r="F44" s="4" t="s">
        <v>79</v>
      </c>
      <c r="G44" s="4" t="s">
        <v>80</v>
      </c>
      <c r="H44" s="4" t="s">
        <v>81</v>
      </c>
    </row>
    <row r="45" customFormat="false" ht="15" hidden="false" customHeight="false" outlineLevel="0" collapsed="false">
      <c r="A45" s="5" t="s">
        <v>112</v>
      </c>
      <c r="B45" s="6" t="n">
        <v>818</v>
      </c>
      <c r="C45" s="6" t="n">
        <v>371</v>
      </c>
      <c r="D45" s="6" t="n">
        <v>196</v>
      </c>
      <c r="E45" s="6" t="n">
        <v>496</v>
      </c>
      <c r="F45" s="6" t="n">
        <v>150</v>
      </c>
      <c r="G45" s="7" t="n">
        <f aca="false">SUM(B45:F45)</f>
        <v>2031</v>
      </c>
      <c r="H45" s="9" t="n">
        <v>0.759</v>
      </c>
    </row>
    <row r="46" customFormat="false" ht="15" hidden="false" customHeight="false" outlineLevel="0" collapsed="false">
      <c r="A46" s="5" t="s">
        <v>113</v>
      </c>
      <c r="B46" s="6" t="n">
        <v>819</v>
      </c>
      <c r="C46" s="6" t="n">
        <v>356</v>
      </c>
      <c r="D46" s="6" t="n">
        <v>196</v>
      </c>
      <c r="E46" s="6" t="n">
        <v>518</v>
      </c>
      <c r="F46" s="6" t="n">
        <v>153</v>
      </c>
      <c r="G46" s="7" t="n">
        <f aca="false">SUM(B46:F46)</f>
        <v>2042</v>
      </c>
      <c r="H46" s="9" t="n">
        <v>0.75</v>
      </c>
    </row>
    <row r="47" customFormat="false" ht="15" hidden="false" customHeight="false" outlineLevel="0" collapsed="false">
      <c r="A47" s="5" t="s">
        <v>114</v>
      </c>
      <c r="B47" s="6" t="n">
        <v>842</v>
      </c>
      <c r="C47" s="6" t="n">
        <v>348</v>
      </c>
      <c r="D47" s="6" t="n">
        <v>197</v>
      </c>
      <c r="E47" s="6" t="n">
        <v>504</v>
      </c>
      <c r="F47" s="6" t="n">
        <v>154</v>
      </c>
      <c r="G47" s="7" t="n">
        <f aca="false">SUM(B47:F47)</f>
        <v>2045</v>
      </c>
      <c r="H47" s="9" t="n">
        <v>0.751</v>
      </c>
    </row>
    <row r="48" customFormat="false" ht="15" hidden="false" customHeight="false" outlineLevel="0" collapsed="false">
      <c r="A48" s="5" t="s">
        <v>115</v>
      </c>
      <c r="B48" s="6" t="n">
        <v>838</v>
      </c>
      <c r="C48" s="6" t="n">
        <v>354</v>
      </c>
      <c r="D48" s="6" t="n">
        <v>190</v>
      </c>
      <c r="E48" s="6" t="n">
        <v>501</v>
      </c>
      <c r="F48" s="6" t="n">
        <v>140</v>
      </c>
      <c r="G48" s="7" t="n">
        <f aca="false">SUM(B48:F48)</f>
        <v>2023</v>
      </c>
      <c r="H48" s="9" t="n">
        <v>0.753</v>
      </c>
    </row>
    <row r="49" customFormat="false" ht="15" hidden="false" customHeight="false" outlineLevel="0" collapsed="false">
      <c r="A49" s="12" t="s">
        <v>116</v>
      </c>
      <c r="B49" s="7" t="n">
        <f aca="false">SUM(B45:B48)</f>
        <v>3317</v>
      </c>
      <c r="C49" s="7" t="n">
        <f aca="false">SUM(C45:C48)</f>
        <v>1429</v>
      </c>
      <c r="D49" s="7" t="n">
        <f aca="false">SUM(D45:D48)</f>
        <v>779</v>
      </c>
      <c r="E49" s="7" t="n">
        <f aca="false">SUM(E45:E48)</f>
        <v>2019</v>
      </c>
      <c r="F49" s="7" t="n">
        <f aca="false">SUM(F45:F48)</f>
        <v>597</v>
      </c>
      <c r="G49" s="7" t="n">
        <f aca="false">SUM(G45:G48)</f>
        <v>8141</v>
      </c>
      <c r="H49" s="8" t="n">
        <f aca="false">AVERAGE(H45:H48)</f>
        <v>0.75325</v>
      </c>
    </row>
    <row r="51" customFormat="false" ht="21.75" hidden="false" customHeight="true" outlineLevel="0" collapsed="false">
      <c r="A51" s="22" t="s">
        <v>117</v>
      </c>
      <c r="B51" s="22"/>
      <c r="C51" s="22"/>
      <c r="D51" s="22"/>
      <c r="E51" s="22"/>
      <c r="F51" s="22"/>
      <c r="G51" s="22"/>
      <c r="H51" s="22"/>
    </row>
    <row r="52" customFormat="false" ht="21.75" hidden="false" customHeight="true" outlineLevel="0" collapsed="false">
      <c r="A52" s="4" t="s">
        <v>74</v>
      </c>
      <c r="B52" s="4" t="s">
        <v>75</v>
      </c>
      <c r="C52" s="4" t="s">
        <v>76</v>
      </c>
      <c r="D52" s="4" t="s">
        <v>77</v>
      </c>
      <c r="E52" s="4" t="s">
        <v>78</v>
      </c>
      <c r="F52" s="4" t="s">
        <v>79</v>
      </c>
      <c r="G52" s="4" t="s">
        <v>80</v>
      </c>
      <c r="H52" s="4" t="s">
        <v>81</v>
      </c>
    </row>
    <row r="53" customFormat="false" ht="15" hidden="false" customHeight="false" outlineLevel="0" collapsed="false">
      <c r="A53" s="5" t="s">
        <v>118</v>
      </c>
      <c r="B53" s="6" t="n">
        <v>764</v>
      </c>
      <c r="C53" s="6" t="n">
        <v>464</v>
      </c>
      <c r="D53" s="6" t="n">
        <v>172</v>
      </c>
      <c r="E53" s="6" t="n">
        <v>429</v>
      </c>
      <c r="F53" s="6" t="n">
        <v>166</v>
      </c>
      <c r="G53" s="7" t="n">
        <f aca="false">SUM(B53:F53)</f>
        <v>1995</v>
      </c>
      <c r="H53" s="9" t="n">
        <v>0.746</v>
      </c>
    </row>
    <row r="54" customFormat="false" ht="15" hidden="false" customHeight="false" outlineLevel="0" collapsed="false">
      <c r="A54" s="5" t="s">
        <v>119</v>
      </c>
      <c r="B54" s="6" t="n">
        <v>688</v>
      </c>
      <c r="C54" s="6" t="n">
        <v>441</v>
      </c>
      <c r="D54" s="6" t="n">
        <v>0</v>
      </c>
      <c r="E54" s="6" t="n">
        <v>426</v>
      </c>
      <c r="F54" s="6" t="n">
        <v>163</v>
      </c>
      <c r="G54" s="7" t="n">
        <f aca="false">SUM(B54:F54)</f>
        <v>1718</v>
      </c>
      <c r="H54" s="9" t="n">
        <v>0.632</v>
      </c>
    </row>
    <row r="55" customFormat="false" ht="15" hidden="false" customHeight="false" outlineLevel="0" collapsed="false">
      <c r="A55" s="5" t="s">
        <v>120</v>
      </c>
      <c r="B55" s="6" t="n">
        <v>644</v>
      </c>
      <c r="C55" s="6" t="n">
        <v>403</v>
      </c>
      <c r="D55" s="6" t="n">
        <v>0</v>
      </c>
      <c r="E55" s="6" t="n">
        <v>409</v>
      </c>
      <c r="F55" s="6" t="n">
        <v>142</v>
      </c>
      <c r="G55" s="7" t="n">
        <f aca="false">SUM(B55:F55)</f>
        <v>1598</v>
      </c>
      <c r="H55" s="9" t="n">
        <v>0.587</v>
      </c>
    </row>
    <row r="56" customFormat="false" ht="15" hidden="false" customHeight="false" outlineLevel="0" collapsed="false">
      <c r="A56" s="5" t="s">
        <v>121</v>
      </c>
      <c r="B56" s="6" t="n">
        <v>634</v>
      </c>
      <c r="C56" s="6" t="n">
        <v>373</v>
      </c>
      <c r="D56" s="6" t="n">
        <v>0</v>
      </c>
      <c r="E56" s="6" t="n">
        <v>392</v>
      </c>
      <c r="F56" s="6" t="n">
        <v>135</v>
      </c>
      <c r="G56" s="7" t="n">
        <f aca="false">SUM(B56:F56)</f>
        <v>1534</v>
      </c>
      <c r="H56" s="9" t="n">
        <v>0.571</v>
      </c>
    </row>
    <row r="57" customFormat="false" ht="15" hidden="false" customHeight="false" outlineLevel="0" collapsed="false">
      <c r="A57" s="12" t="s">
        <v>122</v>
      </c>
      <c r="B57" s="7" t="n">
        <f aca="false">SUM(B53:B56)</f>
        <v>2730</v>
      </c>
      <c r="C57" s="7" t="n">
        <f aca="false">SUM(C53:C56)</f>
        <v>1681</v>
      </c>
      <c r="D57" s="7" t="n">
        <f aca="false">SUM(D53:D56)</f>
        <v>172</v>
      </c>
      <c r="E57" s="7" t="n">
        <f aca="false">SUM(E53:E56)</f>
        <v>1656</v>
      </c>
      <c r="F57" s="7" t="n">
        <f aca="false">SUM(F53:F56)</f>
        <v>606</v>
      </c>
      <c r="G57" s="7" t="n">
        <f aca="false">SUM(G53:G56)</f>
        <v>6845</v>
      </c>
      <c r="H57" s="8" t="n">
        <f aca="false">AVERAGE(H53:H56)</f>
        <v>0.634</v>
      </c>
    </row>
    <row r="59" customFormat="false" ht="21.75" hidden="false" customHeight="true" outlineLevel="0" collapsed="false">
      <c r="A59" s="22" t="s">
        <v>123</v>
      </c>
      <c r="B59" s="22"/>
      <c r="C59" s="22"/>
      <c r="D59" s="22"/>
      <c r="E59" s="22"/>
      <c r="F59" s="22"/>
      <c r="G59" s="22"/>
      <c r="H59" s="22"/>
    </row>
    <row r="60" customFormat="false" ht="21.75" hidden="false" customHeight="true" outlineLevel="0" collapsed="false">
      <c r="A60" s="4" t="s">
        <v>74</v>
      </c>
      <c r="B60" s="4" t="s">
        <v>75</v>
      </c>
      <c r="C60" s="4" t="s">
        <v>76</v>
      </c>
      <c r="D60" s="4" t="s">
        <v>77</v>
      </c>
      <c r="E60" s="4" t="s">
        <v>78</v>
      </c>
      <c r="F60" s="4" t="s">
        <v>79</v>
      </c>
      <c r="G60" s="4" t="s">
        <v>80</v>
      </c>
      <c r="H60" s="4" t="s">
        <v>81</v>
      </c>
    </row>
    <row r="61" customFormat="false" ht="15" hidden="false" customHeight="false" outlineLevel="0" collapsed="false">
      <c r="A61" s="5" t="s">
        <v>124</v>
      </c>
      <c r="B61" s="6" t="n">
        <v>584</v>
      </c>
      <c r="C61" s="6" t="n">
        <v>322</v>
      </c>
      <c r="D61" s="6" t="n">
        <v>0</v>
      </c>
      <c r="E61" s="6" t="n">
        <v>343</v>
      </c>
      <c r="F61" s="6" t="n">
        <v>133</v>
      </c>
      <c r="G61" s="7" t="n">
        <f aca="false">SUM(B61:F61)</f>
        <v>1382</v>
      </c>
      <c r="H61" s="9" t="n">
        <v>0.509</v>
      </c>
    </row>
    <row r="62" customFormat="false" ht="15" hidden="false" customHeight="false" outlineLevel="0" collapsed="false">
      <c r="A62" s="5" t="s">
        <v>125</v>
      </c>
      <c r="B62" s="6" t="n">
        <v>548</v>
      </c>
      <c r="C62" s="6" t="n">
        <v>341</v>
      </c>
      <c r="D62" s="6" t="n">
        <v>0</v>
      </c>
      <c r="E62" s="6" t="n">
        <v>337</v>
      </c>
      <c r="F62" s="6" t="n">
        <v>121</v>
      </c>
      <c r="G62" s="7" t="n">
        <f aca="false">SUM(B62:F62)</f>
        <v>1347</v>
      </c>
      <c r="H62" s="9" t="n">
        <v>0.498</v>
      </c>
    </row>
    <row r="63" customFormat="false" ht="15" hidden="false" customHeight="false" outlineLevel="0" collapsed="false">
      <c r="A63" s="5" t="s">
        <v>126</v>
      </c>
      <c r="B63" s="6" t="n">
        <v>566</v>
      </c>
      <c r="C63" s="6" t="n">
        <v>354</v>
      </c>
      <c r="D63" s="6" t="n">
        <v>0</v>
      </c>
      <c r="E63" s="6" t="n">
        <v>340</v>
      </c>
      <c r="F63" s="6" t="n">
        <v>122</v>
      </c>
      <c r="G63" s="7" t="n">
        <f aca="false">SUM(B63:F63)</f>
        <v>1382</v>
      </c>
      <c r="H63" s="9" t="n">
        <v>0.51</v>
      </c>
    </row>
    <row r="64" customFormat="false" ht="15" hidden="false" customHeight="false" outlineLevel="0" collapsed="false">
      <c r="A64" s="5" t="s">
        <v>127</v>
      </c>
      <c r="B64" s="6" t="n">
        <v>550</v>
      </c>
      <c r="C64" s="6" t="n">
        <v>336</v>
      </c>
      <c r="D64" s="6" t="n">
        <v>0</v>
      </c>
      <c r="E64" s="6" t="n">
        <v>338</v>
      </c>
      <c r="F64" s="6" t="n">
        <v>129</v>
      </c>
      <c r="G64" s="7" t="n">
        <f aca="false">SUM(B64:F64)</f>
        <v>1353</v>
      </c>
      <c r="H64" s="9" t="n">
        <v>0.503</v>
      </c>
    </row>
    <row r="65" customFormat="false" ht="15" hidden="false" customHeight="false" outlineLevel="0" collapsed="false">
      <c r="A65" s="12" t="s">
        <v>128</v>
      </c>
      <c r="B65" s="7" t="n">
        <f aca="false">SUM(B61:B64)</f>
        <v>2248</v>
      </c>
      <c r="C65" s="7" t="n">
        <f aca="false">SUM(C61:C64)</f>
        <v>1353</v>
      </c>
      <c r="D65" s="7" t="n">
        <f aca="false">SUM(D61:D64)</f>
        <v>0</v>
      </c>
      <c r="E65" s="7" t="n">
        <f aca="false">SUM(E61:E64)</f>
        <v>1358</v>
      </c>
      <c r="F65" s="7" t="n">
        <f aca="false">SUM(F61:F64)</f>
        <v>505</v>
      </c>
      <c r="G65" s="7" t="n">
        <f aca="false">SUM(G61:G64)</f>
        <v>5464</v>
      </c>
      <c r="H65" s="8" t="n">
        <f aca="false">AVERAGE(H61:H64)</f>
        <v>0.505</v>
      </c>
    </row>
    <row r="67" customFormat="false" ht="21.75" hidden="false" customHeight="true" outlineLevel="0" collapsed="false">
      <c r="A67" s="22" t="s">
        <v>129</v>
      </c>
      <c r="B67" s="22"/>
      <c r="C67" s="22"/>
      <c r="D67" s="22"/>
      <c r="E67" s="22"/>
      <c r="F67" s="22"/>
      <c r="G67" s="22"/>
      <c r="H67" s="22"/>
    </row>
    <row r="68" customFormat="false" ht="21.75" hidden="false" customHeight="true" outlineLevel="0" collapsed="false">
      <c r="A68" s="4" t="s">
        <v>74</v>
      </c>
      <c r="B68" s="4" t="s">
        <v>75</v>
      </c>
      <c r="C68" s="4" t="s">
        <v>76</v>
      </c>
      <c r="D68" s="4" t="s">
        <v>77</v>
      </c>
      <c r="E68" s="4" t="s">
        <v>78</v>
      </c>
      <c r="F68" s="4" t="s">
        <v>79</v>
      </c>
      <c r="G68" s="4" t="s">
        <v>80</v>
      </c>
      <c r="H68" s="4" t="s">
        <v>81</v>
      </c>
    </row>
    <row r="69" customFormat="false" ht="15" hidden="false" customHeight="false" outlineLevel="0" collapsed="false">
      <c r="A69" s="5" t="s">
        <v>130</v>
      </c>
      <c r="B69" s="6" t="n">
        <v>659</v>
      </c>
      <c r="C69" s="6" t="n">
        <v>200</v>
      </c>
      <c r="D69" s="6" t="n">
        <v>167</v>
      </c>
      <c r="E69" s="6" t="n">
        <v>429</v>
      </c>
      <c r="F69" s="6" t="n">
        <v>83</v>
      </c>
      <c r="G69" s="7" t="n">
        <f aca="false">SUM(B69:F69)</f>
        <v>1538</v>
      </c>
      <c r="H69" s="9" t="n">
        <v>0.57</v>
      </c>
    </row>
    <row r="70" customFormat="false" ht="15" hidden="false" customHeight="false" outlineLevel="0" collapsed="false">
      <c r="A70" s="5" t="s">
        <v>131</v>
      </c>
      <c r="B70" s="6" t="n">
        <v>699</v>
      </c>
      <c r="C70" s="6" t="n">
        <v>222</v>
      </c>
      <c r="D70" s="6" t="n">
        <v>162</v>
      </c>
      <c r="E70" s="6" t="n">
        <v>409</v>
      </c>
      <c r="F70" s="6" t="n">
        <v>86</v>
      </c>
      <c r="G70" s="7" t="n">
        <f aca="false">SUM(B70:F70)</f>
        <v>1578</v>
      </c>
      <c r="H70" s="9" t="n">
        <v>0.581</v>
      </c>
    </row>
    <row r="71" customFormat="false" ht="15" hidden="false" customHeight="false" outlineLevel="0" collapsed="false">
      <c r="A71" s="5" t="s">
        <v>132</v>
      </c>
      <c r="B71" s="6" t="n">
        <v>682</v>
      </c>
      <c r="C71" s="6" t="n">
        <v>207</v>
      </c>
      <c r="D71" s="6" t="n">
        <v>169</v>
      </c>
      <c r="E71" s="6" t="n">
        <v>409</v>
      </c>
      <c r="F71" s="6" t="n">
        <v>87</v>
      </c>
      <c r="G71" s="7" t="n">
        <f aca="false">SUM(B71:F71)</f>
        <v>1554</v>
      </c>
      <c r="H71" s="9" t="n">
        <v>0.58</v>
      </c>
    </row>
    <row r="72" customFormat="false" ht="15" hidden="false" customHeight="false" outlineLevel="0" collapsed="false">
      <c r="A72" s="5" t="s">
        <v>133</v>
      </c>
      <c r="B72" s="6" t="n">
        <v>678</v>
      </c>
      <c r="C72" s="6" t="n">
        <v>214</v>
      </c>
      <c r="D72" s="6" t="n">
        <v>176</v>
      </c>
      <c r="E72" s="6" t="n">
        <v>417</v>
      </c>
      <c r="F72" s="6" t="n">
        <v>82</v>
      </c>
      <c r="G72" s="7" t="n">
        <f aca="false">SUM(B72:F72)</f>
        <v>1567</v>
      </c>
      <c r="H72" s="9" t="n">
        <v>0.577</v>
      </c>
    </row>
    <row r="73" customFormat="false" ht="15" hidden="false" customHeight="false" outlineLevel="0" collapsed="false">
      <c r="A73" s="12" t="s">
        <v>134</v>
      </c>
      <c r="B73" s="7" t="n">
        <f aca="false">SUM(B69:B72)</f>
        <v>2718</v>
      </c>
      <c r="C73" s="7" t="n">
        <f aca="false">SUM(C69:C72)</f>
        <v>843</v>
      </c>
      <c r="D73" s="7" t="n">
        <f aca="false">SUM(D69:D72)</f>
        <v>674</v>
      </c>
      <c r="E73" s="7" t="n">
        <f aca="false">SUM(E69:E72)</f>
        <v>1664</v>
      </c>
      <c r="F73" s="7" t="n">
        <f aca="false">SUM(F69:F72)</f>
        <v>338</v>
      </c>
      <c r="G73" s="7" t="n">
        <f aca="false">SUM(G69:G72)</f>
        <v>6237</v>
      </c>
      <c r="H73" s="8" t="n">
        <f aca="false">AVERAGE(H69:H72)</f>
        <v>0.577</v>
      </c>
    </row>
    <row r="75" customFormat="false" ht="21.75" hidden="false" customHeight="true" outlineLevel="0" collapsed="false">
      <c r="A75" s="22" t="s">
        <v>135</v>
      </c>
      <c r="B75" s="22"/>
      <c r="C75" s="22"/>
      <c r="D75" s="22"/>
      <c r="E75" s="22"/>
      <c r="F75" s="22"/>
      <c r="G75" s="22"/>
      <c r="H75" s="22"/>
    </row>
    <row r="76" customFormat="false" ht="21.75" hidden="false" customHeight="true" outlineLevel="0" collapsed="false">
      <c r="A76" s="4" t="s">
        <v>74</v>
      </c>
      <c r="B76" s="4" t="s">
        <v>75</v>
      </c>
      <c r="C76" s="4" t="s">
        <v>76</v>
      </c>
      <c r="D76" s="4" t="s">
        <v>77</v>
      </c>
      <c r="E76" s="4" t="s">
        <v>78</v>
      </c>
      <c r="F76" s="4" t="s">
        <v>79</v>
      </c>
      <c r="G76" s="4" t="s">
        <v>80</v>
      </c>
      <c r="H76" s="4" t="s">
        <v>81</v>
      </c>
    </row>
    <row r="77" customFormat="false" ht="15" hidden="false" customHeight="false" outlineLevel="0" collapsed="false">
      <c r="A77" s="5" t="s">
        <v>136</v>
      </c>
      <c r="B77" s="6" t="n">
        <v>628</v>
      </c>
      <c r="C77" s="6" t="n">
        <v>232</v>
      </c>
      <c r="D77" s="6" t="n">
        <v>166</v>
      </c>
      <c r="E77" s="6" t="n">
        <v>389</v>
      </c>
      <c r="F77" s="6" t="n">
        <v>94</v>
      </c>
      <c r="G77" s="7" t="n">
        <f aca="false">SUM(B77:F77)</f>
        <v>1509</v>
      </c>
      <c r="H77" s="9" t="n">
        <v>0.556</v>
      </c>
    </row>
    <row r="78" customFormat="false" ht="15" hidden="false" customHeight="false" outlineLevel="0" collapsed="false">
      <c r="A78" s="5" t="s">
        <v>137</v>
      </c>
      <c r="B78" s="6" t="n">
        <v>666</v>
      </c>
      <c r="C78" s="6" t="n">
        <v>252</v>
      </c>
      <c r="D78" s="6" t="n">
        <v>159</v>
      </c>
      <c r="E78" s="6" t="n">
        <v>394</v>
      </c>
      <c r="F78" s="6" t="n">
        <v>94</v>
      </c>
      <c r="G78" s="7" t="n">
        <f aca="false">SUM(B78:F78)</f>
        <v>1565</v>
      </c>
      <c r="H78" s="9" t="n">
        <v>0.58</v>
      </c>
    </row>
    <row r="79" customFormat="false" ht="15" hidden="false" customHeight="false" outlineLevel="0" collapsed="false">
      <c r="A79" s="5" t="s">
        <v>138</v>
      </c>
      <c r="B79" s="6" t="n">
        <v>638</v>
      </c>
      <c r="C79" s="6" t="n">
        <v>240</v>
      </c>
      <c r="D79" s="6" t="n">
        <v>158</v>
      </c>
      <c r="E79" s="6" t="n">
        <v>401</v>
      </c>
      <c r="F79" s="6" t="n">
        <v>84</v>
      </c>
      <c r="G79" s="7" t="n">
        <f aca="false">SUM(B79:F79)</f>
        <v>1521</v>
      </c>
      <c r="H79" s="9" t="n">
        <v>0.561</v>
      </c>
    </row>
    <row r="80" customFormat="false" ht="15" hidden="false" customHeight="false" outlineLevel="0" collapsed="false">
      <c r="A80" s="5" t="s">
        <v>139</v>
      </c>
      <c r="B80" s="6" t="n">
        <v>657</v>
      </c>
      <c r="C80" s="6" t="n">
        <v>236</v>
      </c>
      <c r="D80" s="6" t="n">
        <v>159</v>
      </c>
      <c r="E80" s="6" t="n">
        <v>386</v>
      </c>
      <c r="F80" s="6" t="n">
        <v>85</v>
      </c>
      <c r="G80" s="7" t="n">
        <f aca="false">SUM(B80:F80)</f>
        <v>1523</v>
      </c>
      <c r="H80" s="9" t="n">
        <v>0.57</v>
      </c>
    </row>
    <row r="81" customFormat="false" ht="15" hidden="false" customHeight="false" outlineLevel="0" collapsed="false">
      <c r="A81" s="12" t="s">
        <v>140</v>
      </c>
      <c r="B81" s="7" t="n">
        <f aca="false">SUM(B77:B80)</f>
        <v>2589</v>
      </c>
      <c r="C81" s="7" t="n">
        <f aca="false">SUM(C77:C80)</f>
        <v>960</v>
      </c>
      <c r="D81" s="7" t="n">
        <f aca="false">SUM(D77:D80)</f>
        <v>642</v>
      </c>
      <c r="E81" s="7" t="n">
        <f aca="false">SUM(E77:E80)</f>
        <v>1570</v>
      </c>
      <c r="F81" s="7" t="n">
        <f aca="false">SUM(F77:F80)</f>
        <v>357</v>
      </c>
      <c r="G81" s="7" t="n">
        <f aca="false">SUM(G77:G80)</f>
        <v>6118</v>
      </c>
      <c r="H81" s="8" t="n">
        <f aca="false">AVERAGE(H77:H80)</f>
        <v>0.56675</v>
      </c>
    </row>
    <row r="83" customFormat="false" ht="21.75" hidden="false" customHeight="true" outlineLevel="0" collapsed="false">
      <c r="A83" s="22" t="s">
        <v>141</v>
      </c>
      <c r="B83" s="22"/>
      <c r="C83" s="22"/>
      <c r="D83" s="22"/>
      <c r="E83" s="22"/>
      <c r="F83" s="22"/>
      <c r="G83" s="22"/>
      <c r="H83" s="22"/>
    </row>
    <row r="84" customFormat="false" ht="21.75" hidden="false" customHeight="true" outlineLevel="0" collapsed="false">
      <c r="A84" s="4" t="s">
        <v>74</v>
      </c>
      <c r="B84" s="4" t="s">
        <v>75</v>
      </c>
      <c r="C84" s="4" t="s">
        <v>76</v>
      </c>
      <c r="D84" s="4" t="s">
        <v>77</v>
      </c>
      <c r="E84" s="4" t="s">
        <v>78</v>
      </c>
      <c r="F84" s="4" t="s">
        <v>79</v>
      </c>
      <c r="G84" s="4" t="s">
        <v>80</v>
      </c>
      <c r="H84" s="4" t="s">
        <v>81</v>
      </c>
    </row>
    <row r="85" customFormat="false" ht="15" hidden="false" customHeight="false" outlineLevel="0" collapsed="false">
      <c r="A85" s="5" t="s">
        <v>142</v>
      </c>
      <c r="B85" s="6" t="n">
        <v>596</v>
      </c>
      <c r="C85" s="6" t="n">
        <v>206</v>
      </c>
      <c r="D85" s="6" t="n">
        <v>190</v>
      </c>
      <c r="E85" s="6" t="n">
        <v>368</v>
      </c>
      <c r="F85" s="6" t="n">
        <v>75</v>
      </c>
      <c r="G85" s="7" t="n">
        <f aca="false">SUM(B85:F85)</f>
        <v>1435</v>
      </c>
      <c r="H85" s="9" t="n">
        <v>0.533</v>
      </c>
    </row>
    <row r="86" customFormat="false" ht="15" hidden="false" customHeight="false" outlineLevel="0" collapsed="false">
      <c r="A86" s="5" t="s">
        <v>143</v>
      </c>
      <c r="B86" s="6" t="n">
        <v>609</v>
      </c>
      <c r="C86" s="6" t="n">
        <v>187</v>
      </c>
      <c r="D86" s="6" t="n">
        <v>203</v>
      </c>
      <c r="E86" s="6" t="n">
        <v>373</v>
      </c>
      <c r="F86" s="6" t="n">
        <v>74</v>
      </c>
      <c r="G86" s="7" t="n">
        <f aca="false">SUM(B86:F86)</f>
        <v>1446</v>
      </c>
      <c r="H86" s="9" t="n">
        <v>0.536</v>
      </c>
    </row>
    <row r="87" customFormat="false" ht="15" hidden="false" customHeight="false" outlineLevel="0" collapsed="false">
      <c r="A87" s="5" t="s">
        <v>144</v>
      </c>
      <c r="B87" s="6" t="n">
        <v>615</v>
      </c>
      <c r="C87" s="6" t="n">
        <v>191</v>
      </c>
      <c r="D87" s="6" t="n">
        <v>207</v>
      </c>
      <c r="E87" s="6" t="n">
        <v>362</v>
      </c>
      <c r="F87" s="6" t="n">
        <v>82</v>
      </c>
      <c r="G87" s="7" t="n">
        <f aca="false">SUM(B87:F87)</f>
        <v>1457</v>
      </c>
      <c r="H87" s="9" t="n">
        <v>0.545</v>
      </c>
    </row>
    <row r="88" customFormat="false" ht="15" hidden="false" customHeight="false" outlineLevel="0" collapsed="false">
      <c r="A88" s="5" t="s">
        <v>145</v>
      </c>
      <c r="B88" s="6" t="n">
        <v>588</v>
      </c>
      <c r="C88" s="6" t="n">
        <v>190</v>
      </c>
      <c r="D88" s="6" t="n">
        <v>193</v>
      </c>
      <c r="E88" s="6" t="n">
        <v>354</v>
      </c>
      <c r="F88" s="6" t="n">
        <v>76</v>
      </c>
      <c r="G88" s="7" t="n">
        <f aca="false">SUM(B88:F88)</f>
        <v>1401</v>
      </c>
      <c r="H88" s="9" t="n">
        <v>0.518</v>
      </c>
    </row>
    <row r="89" customFormat="false" ht="15" hidden="false" customHeight="false" outlineLevel="0" collapsed="false">
      <c r="A89" s="12" t="s">
        <v>146</v>
      </c>
      <c r="B89" s="7" t="n">
        <f aca="false">SUM(B85:B88)</f>
        <v>2408</v>
      </c>
      <c r="C89" s="7" t="n">
        <f aca="false">SUM(C85:C88)</f>
        <v>774</v>
      </c>
      <c r="D89" s="7" t="n">
        <f aca="false">SUM(D85:D88)</f>
        <v>793</v>
      </c>
      <c r="E89" s="7" t="n">
        <f aca="false">SUM(E85:E88)</f>
        <v>1457</v>
      </c>
      <c r="F89" s="7" t="n">
        <f aca="false">SUM(F85:F88)</f>
        <v>307</v>
      </c>
      <c r="G89" s="7" t="n">
        <f aca="false">SUM(G85:G88)</f>
        <v>5739</v>
      </c>
      <c r="H89" s="8" t="n">
        <f aca="false">AVERAGE(H85:H88)</f>
        <v>0.533</v>
      </c>
    </row>
    <row r="91" customFormat="false" ht="21.75" hidden="false" customHeight="true" outlineLevel="0" collapsed="false">
      <c r="A91" s="22" t="s">
        <v>147</v>
      </c>
      <c r="B91" s="22"/>
      <c r="C91" s="22"/>
      <c r="D91" s="22"/>
      <c r="E91" s="22"/>
      <c r="F91" s="22"/>
      <c r="G91" s="22"/>
      <c r="H91" s="22"/>
    </row>
    <row r="92" customFormat="false" ht="21.75" hidden="false" customHeight="true" outlineLevel="0" collapsed="false">
      <c r="A92" s="4" t="s">
        <v>74</v>
      </c>
      <c r="B92" s="4" t="s">
        <v>75</v>
      </c>
      <c r="C92" s="4" t="s">
        <v>76</v>
      </c>
      <c r="D92" s="4" t="s">
        <v>77</v>
      </c>
      <c r="E92" s="4" t="s">
        <v>78</v>
      </c>
      <c r="F92" s="4" t="s">
        <v>79</v>
      </c>
      <c r="G92" s="4" t="s">
        <v>80</v>
      </c>
      <c r="H92" s="4" t="s">
        <v>81</v>
      </c>
    </row>
    <row r="93" customFormat="false" ht="15" hidden="false" customHeight="false" outlineLevel="0" collapsed="false">
      <c r="A93" s="5" t="s">
        <v>148</v>
      </c>
      <c r="B93" s="6" t="n">
        <v>507</v>
      </c>
      <c r="C93" s="6" t="n">
        <v>208</v>
      </c>
      <c r="D93" s="6" t="n">
        <v>140</v>
      </c>
      <c r="E93" s="6" t="n">
        <v>306</v>
      </c>
      <c r="F93" s="6" t="n">
        <v>88</v>
      </c>
      <c r="G93" s="7" t="n">
        <f aca="false">SUM(B93:F93)</f>
        <v>1249</v>
      </c>
      <c r="H93" s="9" t="n">
        <v>0.464</v>
      </c>
    </row>
    <row r="94" customFormat="false" ht="15" hidden="false" customHeight="false" outlineLevel="0" collapsed="false">
      <c r="A94" s="5" t="s">
        <v>149</v>
      </c>
      <c r="B94" s="6" t="n">
        <v>501</v>
      </c>
      <c r="C94" s="6" t="n">
        <v>219</v>
      </c>
      <c r="D94" s="6" t="n">
        <v>147</v>
      </c>
      <c r="E94" s="6" t="n">
        <v>304</v>
      </c>
      <c r="F94" s="6" t="n">
        <v>86</v>
      </c>
      <c r="G94" s="7" t="n">
        <f aca="false">SUM(B94:F94)</f>
        <v>1257</v>
      </c>
      <c r="H94" s="9" t="n">
        <v>0.467</v>
      </c>
    </row>
    <row r="95" customFormat="false" ht="15" hidden="false" customHeight="false" outlineLevel="0" collapsed="false">
      <c r="A95" s="5" t="s">
        <v>150</v>
      </c>
      <c r="B95" s="6" t="n">
        <v>494</v>
      </c>
      <c r="C95" s="6" t="n">
        <v>217</v>
      </c>
      <c r="D95" s="6" t="n">
        <v>145</v>
      </c>
      <c r="E95" s="6" t="n">
        <v>299</v>
      </c>
      <c r="F95" s="6" t="n">
        <v>79</v>
      </c>
      <c r="G95" s="7" t="n">
        <f aca="false">SUM(B95:F95)</f>
        <v>1234</v>
      </c>
      <c r="H95" s="9" t="n">
        <v>0.461</v>
      </c>
    </row>
    <row r="96" customFormat="false" ht="15" hidden="false" customHeight="false" outlineLevel="0" collapsed="false">
      <c r="A96" s="5" t="s">
        <v>151</v>
      </c>
      <c r="B96" s="6" t="n">
        <v>514</v>
      </c>
      <c r="C96" s="6" t="n">
        <v>207</v>
      </c>
      <c r="D96" s="6" t="n">
        <v>142</v>
      </c>
      <c r="E96" s="6" t="n">
        <v>309</v>
      </c>
      <c r="F96" s="6" t="n">
        <v>78</v>
      </c>
      <c r="G96" s="7" t="n">
        <f aca="false">SUM(B96:F96)</f>
        <v>1250</v>
      </c>
      <c r="H96" s="9" t="n">
        <v>0.464</v>
      </c>
    </row>
    <row r="97" customFormat="false" ht="15" hidden="false" customHeight="false" outlineLevel="0" collapsed="false">
      <c r="A97" s="12" t="s">
        <v>152</v>
      </c>
      <c r="B97" s="7" t="n">
        <f aca="false">SUM(B93:B96)</f>
        <v>2016</v>
      </c>
      <c r="C97" s="7" t="n">
        <f aca="false">SUM(C93:C96)</f>
        <v>851</v>
      </c>
      <c r="D97" s="7" t="n">
        <f aca="false">SUM(D93:D96)</f>
        <v>574</v>
      </c>
      <c r="E97" s="7" t="n">
        <f aca="false">SUM(E93:E96)</f>
        <v>1218</v>
      </c>
      <c r="F97" s="7" t="n">
        <f aca="false">SUM(F93:F96)</f>
        <v>331</v>
      </c>
      <c r="G97" s="7" t="n">
        <f aca="false">SUM(G93:G96)</f>
        <v>4990</v>
      </c>
      <c r="H97" s="8" t="n">
        <f aca="false">AVERAGE(H93:H96)</f>
        <v>0.464</v>
      </c>
    </row>
  </sheetData>
  <mergeCells count="13">
    <mergeCell ref="A1:H1"/>
    <mergeCell ref="A3:H3"/>
    <mergeCell ref="A11:H11"/>
    <mergeCell ref="A19:H19"/>
    <mergeCell ref="A27:H27"/>
    <mergeCell ref="A35:H35"/>
    <mergeCell ref="A43:H43"/>
    <mergeCell ref="A51:H51"/>
    <mergeCell ref="A59:H59"/>
    <mergeCell ref="A67:H67"/>
    <mergeCell ref="A75:H75"/>
    <mergeCell ref="A83:H83"/>
    <mergeCell ref="A91:H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52"/>
  </cols>
  <sheetData>
    <row r="1" customFormat="false" ht="34.5" hidden="false" customHeight="true" outlineLevel="0" collapsed="false">
      <c r="A1" s="21" t="s">
        <v>153</v>
      </c>
      <c r="B1" s="21"/>
      <c r="C1" s="21"/>
      <c r="D1" s="21"/>
      <c r="E1" s="21"/>
      <c r="F1" s="21"/>
      <c r="G1" s="21"/>
      <c r="H1" s="21"/>
      <c r="I1" s="21"/>
    </row>
    <row r="3" customFormat="false" ht="15" hidden="false" customHeight="true" outlineLevel="0" collapsed="false">
      <c r="A3" s="4" t="s">
        <v>154</v>
      </c>
      <c r="B3" s="4"/>
    </row>
    <row r="4" customFormat="false" ht="42" hidden="false" customHeight="true" outlineLevel="0" collapsed="false">
      <c r="A4" s="4" t="s">
        <v>155</v>
      </c>
      <c r="B4" s="4" t="s">
        <v>156</v>
      </c>
    </row>
    <row r="5" customFormat="false" ht="15" hidden="false" customHeight="false" outlineLevel="0" collapsed="false">
      <c r="A5" s="5" t="s">
        <v>157</v>
      </c>
      <c r="B5" s="23" t="s">
        <v>158</v>
      </c>
    </row>
    <row r="6" customFormat="false" ht="15" hidden="false" customHeight="false" outlineLevel="0" collapsed="false">
      <c r="A6" s="5" t="s">
        <v>52</v>
      </c>
      <c r="B6" s="23" t="s">
        <v>159</v>
      </c>
    </row>
    <row r="7" customFormat="false" ht="35.05" hidden="false" customHeight="false" outlineLevel="0" collapsed="false">
      <c r="A7" s="5" t="s">
        <v>160</v>
      </c>
      <c r="B7" s="23" t="s">
        <v>161</v>
      </c>
    </row>
    <row r="8" customFormat="false" ht="15" hidden="false" customHeight="false" outlineLevel="0" collapsed="false">
      <c r="A8" s="5" t="s">
        <v>162</v>
      </c>
      <c r="B8" s="23" t="s">
        <v>163</v>
      </c>
    </row>
    <row r="9" customFormat="false" ht="15" hidden="false" customHeight="false" outlineLevel="0" collapsed="false">
      <c r="A9" s="5" t="s">
        <v>164</v>
      </c>
      <c r="B9" s="23" t="s">
        <v>165</v>
      </c>
    </row>
    <row r="11" customFormat="false" ht="21.75" hidden="false" customHeight="true" outlineLevel="0" collapsed="false">
      <c r="A11" s="4" t="s">
        <v>166</v>
      </c>
      <c r="B11" s="4"/>
      <c r="C11" s="4"/>
      <c r="D11" s="4"/>
      <c r="E11" s="4"/>
      <c r="F11" s="4"/>
      <c r="G11" s="4"/>
      <c r="H11" s="4"/>
      <c r="I11" s="4"/>
    </row>
    <row r="12" customFormat="false" ht="21.75" hidden="false" customHeight="true" outlineLevel="0" collapsed="false">
      <c r="A12" s="4" t="s">
        <v>74</v>
      </c>
      <c r="B12" s="4" t="s">
        <v>157</v>
      </c>
      <c r="C12" s="4" t="s">
        <v>167</v>
      </c>
      <c r="D12" s="4" t="s">
        <v>168</v>
      </c>
      <c r="E12" s="4" t="s">
        <v>169</v>
      </c>
      <c r="F12" s="4" t="s">
        <v>170</v>
      </c>
      <c r="G12" s="4" t="s">
        <v>171</v>
      </c>
      <c r="H12" s="4" t="s">
        <v>172</v>
      </c>
      <c r="I12" s="4" t="s">
        <v>173</v>
      </c>
    </row>
    <row r="13" customFormat="false" ht="15" hidden="false" customHeight="false" outlineLevel="0" collapsed="false">
      <c r="A13" s="5" t="s">
        <v>174</v>
      </c>
      <c r="B13" s="15" t="n">
        <v>7.4</v>
      </c>
      <c r="C13" s="15" t="n">
        <v>1.1</v>
      </c>
      <c r="D13" s="24" t="n">
        <v>28.2</v>
      </c>
      <c r="E13" s="15" t="n">
        <v>0.25</v>
      </c>
      <c r="F13" s="15" t="n">
        <v>0.19</v>
      </c>
      <c r="G13" s="5" t="s">
        <v>175</v>
      </c>
      <c r="H13" s="6" t="n">
        <v>0</v>
      </c>
      <c r="I13" s="5" t="s">
        <v>28</v>
      </c>
    </row>
    <row r="14" customFormat="false" ht="15" hidden="false" customHeight="false" outlineLevel="0" collapsed="false">
      <c r="A14" s="5" t="s">
        <v>176</v>
      </c>
      <c r="B14" s="15" t="n">
        <v>7.4</v>
      </c>
      <c r="C14" s="15" t="n">
        <v>1</v>
      </c>
      <c r="D14" s="24" t="n">
        <v>28.4</v>
      </c>
      <c r="E14" s="15" t="n">
        <v>0.28</v>
      </c>
      <c r="F14" s="15" t="n">
        <v>0.19</v>
      </c>
      <c r="G14" s="5" t="s">
        <v>175</v>
      </c>
      <c r="H14" s="6" t="n">
        <v>0</v>
      </c>
      <c r="I14" s="5" t="s">
        <v>28</v>
      </c>
    </row>
    <row r="15" customFormat="false" ht="15" hidden="false" customHeight="false" outlineLevel="0" collapsed="false">
      <c r="A15" s="5" t="s">
        <v>177</v>
      </c>
      <c r="B15" s="15" t="n">
        <v>7.1</v>
      </c>
      <c r="C15" s="15" t="n">
        <v>1</v>
      </c>
      <c r="D15" s="24" t="n">
        <v>28.1</v>
      </c>
      <c r="E15" s="15" t="n">
        <v>0.21</v>
      </c>
      <c r="F15" s="15" t="n">
        <v>0.18</v>
      </c>
      <c r="G15" s="5" t="s">
        <v>178</v>
      </c>
      <c r="H15" s="6" t="n">
        <v>1</v>
      </c>
      <c r="I15" s="5" t="s">
        <v>179</v>
      </c>
    </row>
    <row r="16" customFormat="false" ht="15" hidden="false" customHeight="false" outlineLevel="0" collapsed="false">
      <c r="A16" s="5" t="s">
        <v>180</v>
      </c>
      <c r="B16" s="15" t="n">
        <v>7.4</v>
      </c>
      <c r="C16" s="15" t="n">
        <v>1</v>
      </c>
      <c r="D16" s="24" t="n">
        <v>28.3</v>
      </c>
      <c r="E16" s="15" t="n">
        <v>0.31</v>
      </c>
      <c r="F16" s="15" t="n">
        <v>0.16</v>
      </c>
      <c r="G16" s="5" t="s">
        <v>175</v>
      </c>
      <c r="H16" s="6" t="n">
        <v>0</v>
      </c>
      <c r="I16" s="5" t="s">
        <v>28</v>
      </c>
    </row>
    <row r="17" customFormat="false" ht="15" hidden="false" customHeight="false" outlineLevel="0" collapsed="false">
      <c r="A17" s="5" t="s">
        <v>181</v>
      </c>
      <c r="B17" s="15" t="n">
        <v>7.4</v>
      </c>
      <c r="C17" s="15" t="n">
        <v>1.4</v>
      </c>
      <c r="D17" s="24" t="n">
        <v>28.2</v>
      </c>
      <c r="E17" s="15" t="n">
        <v>0.25</v>
      </c>
      <c r="F17" s="15" t="n">
        <v>0.15</v>
      </c>
      <c r="G17" s="5" t="s">
        <v>175</v>
      </c>
      <c r="H17" s="6" t="n">
        <v>0</v>
      </c>
      <c r="I17" s="5" t="s">
        <v>28</v>
      </c>
    </row>
    <row r="18" customFormat="false" ht="15" hidden="false" customHeight="false" outlineLevel="0" collapsed="false">
      <c r="A18" s="5" t="s">
        <v>182</v>
      </c>
      <c r="B18" s="15" t="n">
        <v>7.4</v>
      </c>
      <c r="C18" s="15" t="n">
        <v>1</v>
      </c>
      <c r="D18" s="24" t="n">
        <v>28</v>
      </c>
      <c r="E18" s="15" t="n">
        <v>0.48</v>
      </c>
      <c r="F18" s="15" t="n">
        <v>0.21</v>
      </c>
      <c r="G18" s="5" t="s">
        <v>178</v>
      </c>
      <c r="H18" s="6" t="n">
        <v>1</v>
      </c>
      <c r="I18" s="5" t="s">
        <v>183</v>
      </c>
    </row>
    <row r="19" customFormat="false" ht="15" hidden="false" customHeight="false" outlineLevel="0" collapsed="false">
      <c r="A19" s="5" t="s">
        <v>184</v>
      </c>
      <c r="B19" s="15" t="n">
        <v>7.4</v>
      </c>
      <c r="C19" s="15" t="n">
        <v>1.3</v>
      </c>
      <c r="D19" s="24" t="n">
        <v>28.3</v>
      </c>
      <c r="E19" s="15" t="n">
        <v>0.33</v>
      </c>
      <c r="F19" s="15" t="n">
        <v>0.21</v>
      </c>
      <c r="G19" s="5" t="s">
        <v>175</v>
      </c>
      <c r="H19" s="6" t="n">
        <v>0</v>
      </c>
      <c r="I19" s="5" t="s">
        <v>28</v>
      </c>
    </row>
    <row r="20" customFormat="false" ht="15" hidden="false" customHeight="false" outlineLevel="0" collapsed="false">
      <c r="A20" s="5" t="s">
        <v>185</v>
      </c>
      <c r="B20" s="15" t="n">
        <v>7.4</v>
      </c>
      <c r="C20" s="15" t="n">
        <v>1.2</v>
      </c>
      <c r="D20" s="24" t="n">
        <v>28.4</v>
      </c>
      <c r="E20" s="15" t="n">
        <v>0.24</v>
      </c>
      <c r="F20" s="15" t="n">
        <v>0.19</v>
      </c>
      <c r="G20" s="5" t="s">
        <v>175</v>
      </c>
      <c r="H20" s="6" t="n">
        <v>0</v>
      </c>
      <c r="I20" s="5" t="s">
        <v>28</v>
      </c>
    </row>
    <row r="21" customFormat="false" ht="15" hidden="false" customHeight="false" outlineLevel="0" collapsed="false">
      <c r="A21" s="5" t="s">
        <v>186</v>
      </c>
      <c r="B21" s="15" t="n">
        <v>7.5</v>
      </c>
      <c r="C21" s="15" t="n">
        <v>1.2</v>
      </c>
      <c r="D21" s="24" t="n">
        <v>28.2</v>
      </c>
      <c r="E21" s="15" t="n">
        <v>0.19</v>
      </c>
      <c r="F21" s="15" t="n">
        <v>0.14</v>
      </c>
      <c r="G21" s="5" t="s">
        <v>175</v>
      </c>
      <c r="H21" s="6" t="n">
        <v>0</v>
      </c>
      <c r="I21" s="5" t="s">
        <v>28</v>
      </c>
    </row>
    <row r="22" customFormat="false" ht="15" hidden="false" customHeight="false" outlineLevel="0" collapsed="false">
      <c r="A22" s="5" t="s">
        <v>187</v>
      </c>
      <c r="B22" s="15" t="n">
        <v>7.3</v>
      </c>
      <c r="C22" s="15" t="n">
        <v>1.3</v>
      </c>
      <c r="D22" s="24" t="n">
        <v>28.3</v>
      </c>
      <c r="E22" s="15" t="n">
        <v>0.27</v>
      </c>
      <c r="F22" s="15" t="n">
        <v>0.14</v>
      </c>
      <c r="G22" s="5" t="s">
        <v>175</v>
      </c>
      <c r="H22" s="6" t="n">
        <v>0</v>
      </c>
      <c r="I22" s="5" t="s">
        <v>28</v>
      </c>
    </row>
    <row r="23" customFormat="false" ht="15" hidden="false" customHeight="false" outlineLevel="0" collapsed="false">
      <c r="A23" s="5" t="s">
        <v>188</v>
      </c>
      <c r="B23" s="15" t="n">
        <v>7.5</v>
      </c>
      <c r="C23" s="15" t="n">
        <v>1.3</v>
      </c>
      <c r="D23" s="24" t="n">
        <v>28.1</v>
      </c>
      <c r="E23" s="15" t="n">
        <v>0.16</v>
      </c>
      <c r="F23" s="15" t="n">
        <v>0.17</v>
      </c>
      <c r="G23" s="5" t="s">
        <v>175</v>
      </c>
      <c r="H23" s="6" t="n">
        <v>0</v>
      </c>
      <c r="I23" s="5" t="s">
        <v>28</v>
      </c>
    </row>
    <row r="24" customFormat="false" ht="15" hidden="false" customHeight="false" outlineLevel="0" collapsed="false">
      <c r="A24" s="5" t="s">
        <v>189</v>
      </c>
      <c r="B24" s="15" t="n">
        <v>7.5</v>
      </c>
      <c r="C24" s="15" t="n">
        <v>1.1</v>
      </c>
      <c r="D24" s="24" t="n">
        <v>28.2</v>
      </c>
      <c r="E24" s="15" t="n">
        <v>0.16</v>
      </c>
      <c r="F24" s="15" t="n">
        <v>0.18</v>
      </c>
      <c r="G24" s="5" t="s">
        <v>175</v>
      </c>
      <c r="H24" s="6" t="n">
        <v>0</v>
      </c>
      <c r="I24" s="5" t="s">
        <v>28</v>
      </c>
    </row>
    <row r="25" customFormat="false" ht="15" hidden="false" customHeight="false" outlineLevel="0" collapsed="false">
      <c r="A25" s="5" t="s">
        <v>190</v>
      </c>
      <c r="B25" s="15" t="n">
        <v>7.5</v>
      </c>
      <c r="C25" s="15" t="n">
        <v>1.3</v>
      </c>
      <c r="D25" s="24" t="n">
        <v>28.3</v>
      </c>
      <c r="E25" s="15" t="n">
        <v>0.18</v>
      </c>
      <c r="F25" s="15" t="n">
        <v>0.16</v>
      </c>
      <c r="G25" s="5" t="s">
        <v>175</v>
      </c>
      <c r="H25" s="6" t="n">
        <v>0</v>
      </c>
      <c r="I25" s="5" t="s">
        <v>28</v>
      </c>
    </row>
    <row r="26" customFormat="false" ht="15" hidden="false" customHeight="false" outlineLevel="0" collapsed="false">
      <c r="A26" s="5" t="s">
        <v>191</v>
      </c>
      <c r="B26" s="15" t="n">
        <v>7.4</v>
      </c>
      <c r="C26" s="15" t="n">
        <v>1.4</v>
      </c>
      <c r="D26" s="24" t="n">
        <v>28.2</v>
      </c>
      <c r="E26" s="15" t="n">
        <v>0.23</v>
      </c>
      <c r="F26" s="15" t="n">
        <v>0.19</v>
      </c>
      <c r="G26" s="5" t="s">
        <v>175</v>
      </c>
      <c r="H26" s="6" t="n">
        <v>0</v>
      </c>
      <c r="I26" s="5" t="s">
        <v>28</v>
      </c>
    </row>
    <row r="27" customFormat="false" ht="15" hidden="false" customHeight="false" outlineLevel="0" collapsed="false">
      <c r="A27" s="5" t="s">
        <v>192</v>
      </c>
      <c r="B27" s="15" t="n">
        <v>7.5</v>
      </c>
      <c r="C27" s="15" t="n">
        <v>1.1</v>
      </c>
      <c r="D27" s="24" t="n">
        <v>28.4</v>
      </c>
      <c r="E27" s="15" t="n">
        <v>0.25</v>
      </c>
      <c r="F27" s="15" t="n">
        <v>0.16</v>
      </c>
      <c r="G27" s="5" t="s">
        <v>175</v>
      </c>
      <c r="H27" s="6" t="n">
        <v>0</v>
      </c>
      <c r="I27" s="5" t="s">
        <v>28</v>
      </c>
    </row>
    <row r="28" customFormat="false" ht="15" hidden="false" customHeight="false" outlineLevel="0" collapsed="false">
      <c r="A28" s="5" t="s">
        <v>193</v>
      </c>
      <c r="B28" s="15" t="n">
        <v>7.4</v>
      </c>
      <c r="C28" s="15" t="n">
        <v>1.1</v>
      </c>
      <c r="D28" s="24" t="n">
        <v>28.2</v>
      </c>
      <c r="E28" s="15" t="n">
        <v>0.26</v>
      </c>
      <c r="F28" s="15" t="n">
        <v>0.19</v>
      </c>
      <c r="G28" s="5" t="s">
        <v>175</v>
      </c>
      <c r="H28" s="6" t="n">
        <v>0</v>
      </c>
      <c r="I28" s="5" t="s">
        <v>28</v>
      </c>
    </row>
    <row r="29" customFormat="false" ht="15" hidden="false" customHeight="false" outlineLevel="0" collapsed="false">
      <c r="A29" s="5" t="s">
        <v>194</v>
      </c>
      <c r="B29" s="15" t="n">
        <v>7.3</v>
      </c>
      <c r="C29" s="15" t="n">
        <v>1.2</v>
      </c>
      <c r="D29" s="24" t="n">
        <v>28.1</v>
      </c>
      <c r="E29" s="15" t="n">
        <v>0.2</v>
      </c>
      <c r="F29" s="15" t="n">
        <v>0.17</v>
      </c>
      <c r="G29" s="5" t="s">
        <v>175</v>
      </c>
      <c r="H29" s="6" t="n">
        <v>0</v>
      </c>
      <c r="I29" s="5" t="s">
        <v>28</v>
      </c>
    </row>
    <row r="30" customFormat="false" ht="15" hidden="false" customHeight="false" outlineLevel="0" collapsed="false">
      <c r="A30" s="5" t="s">
        <v>195</v>
      </c>
      <c r="B30" s="15" t="n">
        <v>7.3</v>
      </c>
      <c r="C30" s="15" t="n">
        <v>1.1</v>
      </c>
      <c r="D30" s="24" t="n">
        <v>28.3</v>
      </c>
      <c r="E30" s="15" t="n">
        <v>0.33</v>
      </c>
      <c r="F30" s="15" t="n">
        <v>0.21</v>
      </c>
      <c r="G30" s="5" t="s">
        <v>175</v>
      </c>
      <c r="H30" s="6" t="n">
        <v>0</v>
      </c>
      <c r="I30" s="5" t="s">
        <v>28</v>
      </c>
    </row>
    <row r="31" customFormat="false" ht="15" hidden="false" customHeight="false" outlineLevel="0" collapsed="false">
      <c r="A31" s="5" t="s">
        <v>196</v>
      </c>
      <c r="B31" s="15" t="n">
        <v>7.4</v>
      </c>
      <c r="C31" s="15" t="n">
        <v>1</v>
      </c>
      <c r="D31" s="24" t="n">
        <v>28.2</v>
      </c>
      <c r="E31" s="15" t="n">
        <v>0.28</v>
      </c>
      <c r="F31" s="15" t="n">
        <v>0.19</v>
      </c>
      <c r="G31" s="5" t="s">
        <v>175</v>
      </c>
      <c r="H31" s="6" t="n">
        <v>0</v>
      </c>
      <c r="I31" s="5" t="s">
        <v>28</v>
      </c>
    </row>
    <row r="32" customFormat="false" ht="15" hidden="false" customHeight="false" outlineLevel="0" collapsed="false">
      <c r="A32" s="5" t="s">
        <v>197</v>
      </c>
      <c r="B32" s="15" t="n">
        <v>7.4</v>
      </c>
      <c r="C32" s="15" t="n">
        <v>1.1</v>
      </c>
      <c r="D32" s="24" t="n">
        <v>28.3</v>
      </c>
      <c r="E32" s="15" t="n">
        <v>0.18</v>
      </c>
      <c r="F32" s="15" t="n">
        <v>0.14</v>
      </c>
      <c r="G32" s="5" t="s">
        <v>175</v>
      </c>
      <c r="H32" s="6" t="n">
        <v>0</v>
      </c>
      <c r="I32" s="5" t="s">
        <v>28</v>
      </c>
    </row>
    <row r="33" customFormat="false" ht="15" hidden="false" customHeight="false" outlineLevel="0" collapsed="false">
      <c r="A33" s="5" t="s">
        <v>198</v>
      </c>
      <c r="B33" s="15" t="n">
        <v>7.4</v>
      </c>
      <c r="C33" s="15" t="n">
        <v>0.9</v>
      </c>
      <c r="D33" s="24" t="n">
        <v>28.2</v>
      </c>
      <c r="E33" s="15" t="n">
        <v>0.21</v>
      </c>
      <c r="F33" s="15" t="n">
        <v>0.29</v>
      </c>
      <c r="G33" s="5" t="s">
        <v>178</v>
      </c>
      <c r="H33" s="6" t="n">
        <v>1</v>
      </c>
      <c r="I33" s="5" t="s">
        <v>199</v>
      </c>
    </row>
    <row r="34" customFormat="false" ht="15" hidden="false" customHeight="false" outlineLevel="0" collapsed="false">
      <c r="A34" s="5" t="s">
        <v>200</v>
      </c>
      <c r="B34" s="15" t="n">
        <v>7.4</v>
      </c>
      <c r="C34" s="15" t="n">
        <v>1.2</v>
      </c>
      <c r="D34" s="24" t="n">
        <v>28.4</v>
      </c>
      <c r="E34" s="15" t="n">
        <v>0.32</v>
      </c>
      <c r="F34" s="15" t="n">
        <v>0.19</v>
      </c>
      <c r="G34" s="5" t="s">
        <v>175</v>
      </c>
      <c r="H34" s="6" t="n">
        <v>0</v>
      </c>
      <c r="I34" s="5" t="s">
        <v>28</v>
      </c>
    </row>
    <row r="35" customFormat="false" ht="15" hidden="false" customHeight="false" outlineLevel="0" collapsed="false">
      <c r="A35" s="5" t="s">
        <v>201</v>
      </c>
      <c r="B35" s="15" t="n">
        <v>7.4</v>
      </c>
      <c r="C35" s="15" t="n">
        <v>1.3</v>
      </c>
      <c r="D35" s="24" t="n">
        <v>28.3</v>
      </c>
      <c r="E35" s="15" t="n">
        <v>0.2</v>
      </c>
      <c r="F35" s="15" t="n">
        <v>0.17</v>
      </c>
      <c r="G35" s="5" t="s">
        <v>175</v>
      </c>
      <c r="H35" s="6" t="n">
        <v>0</v>
      </c>
      <c r="I35" s="5" t="s">
        <v>28</v>
      </c>
    </row>
    <row r="36" customFormat="false" ht="15" hidden="false" customHeight="false" outlineLevel="0" collapsed="false">
      <c r="A36" s="5" t="s">
        <v>202</v>
      </c>
      <c r="B36" s="15" t="n">
        <v>7.5</v>
      </c>
      <c r="C36" s="15" t="n">
        <v>1</v>
      </c>
      <c r="D36" s="24" t="n">
        <v>28.2</v>
      </c>
      <c r="E36" s="15" t="n">
        <v>0.21</v>
      </c>
      <c r="F36" s="15" t="n">
        <v>0.2</v>
      </c>
      <c r="G36" s="5" t="s">
        <v>175</v>
      </c>
      <c r="H36" s="6" t="n">
        <v>0</v>
      </c>
      <c r="I36" s="5" t="s">
        <v>28</v>
      </c>
    </row>
    <row r="37" customFormat="false" ht="15" hidden="false" customHeight="false" outlineLevel="0" collapsed="false">
      <c r="A37" s="5" t="s">
        <v>203</v>
      </c>
      <c r="B37" s="15" t="n">
        <v>7.4</v>
      </c>
      <c r="C37" s="15" t="n">
        <v>1.1</v>
      </c>
      <c r="D37" s="24" t="n">
        <v>27.5</v>
      </c>
      <c r="E37" s="15" t="n">
        <v>0.21</v>
      </c>
      <c r="F37" s="15" t="n">
        <v>0.19</v>
      </c>
      <c r="G37" s="5" t="s">
        <v>175</v>
      </c>
      <c r="H37" s="6" t="n">
        <v>0</v>
      </c>
      <c r="I37" s="5" t="s">
        <v>204</v>
      </c>
    </row>
    <row r="38" customFormat="false" ht="15" hidden="false" customHeight="false" outlineLevel="0" collapsed="false">
      <c r="A38" s="5" t="s">
        <v>205</v>
      </c>
      <c r="B38" s="15" t="n">
        <v>7.3</v>
      </c>
      <c r="C38" s="15" t="n">
        <v>1.1</v>
      </c>
      <c r="D38" s="24" t="n">
        <v>26.8</v>
      </c>
      <c r="E38" s="15" t="n">
        <v>0.24</v>
      </c>
      <c r="F38" s="15" t="n">
        <v>0.17</v>
      </c>
      <c r="G38" s="5" t="s">
        <v>175</v>
      </c>
      <c r="H38" s="6" t="n">
        <v>0</v>
      </c>
      <c r="I38" s="5" t="s">
        <v>28</v>
      </c>
    </row>
    <row r="39" customFormat="false" ht="15" hidden="false" customHeight="false" outlineLevel="0" collapsed="false">
      <c r="A39" s="5" t="s">
        <v>206</v>
      </c>
      <c r="B39" s="15" t="n">
        <v>7.4</v>
      </c>
      <c r="C39" s="15" t="n">
        <v>1.2</v>
      </c>
      <c r="D39" s="24" t="n">
        <v>26.2</v>
      </c>
      <c r="E39" s="15" t="n">
        <v>0.32</v>
      </c>
      <c r="F39" s="15" t="n">
        <v>0.12</v>
      </c>
      <c r="G39" s="5" t="s">
        <v>175</v>
      </c>
      <c r="H39" s="6" t="n">
        <v>0</v>
      </c>
      <c r="I39" s="5" t="s">
        <v>28</v>
      </c>
    </row>
    <row r="40" customFormat="false" ht="15" hidden="false" customHeight="false" outlineLevel="0" collapsed="false">
      <c r="A40" s="5" t="s">
        <v>207</v>
      </c>
      <c r="B40" s="15" t="n">
        <v>7.5</v>
      </c>
      <c r="C40" s="15" t="n">
        <v>1</v>
      </c>
      <c r="D40" s="24" t="n">
        <v>26</v>
      </c>
      <c r="E40" s="15" t="n">
        <v>0.31</v>
      </c>
      <c r="F40" s="15" t="n">
        <v>0.12</v>
      </c>
      <c r="G40" s="5" t="s">
        <v>175</v>
      </c>
      <c r="H40" s="6" t="n">
        <v>0</v>
      </c>
      <c r="I40" s="5" t="s">
        <v>28</v>
      </c>
    </row>
    <row r="41" customFormat="false" ht="15" hidden="false" customHeight="false" outlineLevel="0" collapsed="false">
      <c r="A41" s="5" t="s">
        <v>208</v>
      </c>
      <c r="B41" s="15" t="n">
        <v>7.5</v>
      </c>
      <c r="C41" s="15" t="n">
        <v>1.4</v>
      </c>
      <c r="D41" s="24" t="n">
        <v>26</v>
      </c>
      <c r="E41" s="15" t="n">
        <v>0.33</v>
      </c>
      <c r="F41" s="15" t="n">
        <v>0.2</v>
      </c>
      <c r="G41" s="5" t="s">
        <v>175</v>
      </c>
      <c r="H41" s="6" t="n">
        <v>0</v>
      </c>
      <c r="I41" s="5" t="s">
        <v>28</v>
      </c>
    </row>
    <row r="42" customFormat="false" ht="15" hidden="false" customHeight="false" outlineLevel="0" collapsed="false">
      <c r="A42" s="5" t="s">
        <v>209</v>
      </c>
      <c r="B42" s="15" t="n">
        <v>7.4</v>
      </c>
      <c r="C42" s="15" t="n">
        <v>1</v>
      </c>
      <c r="D42" s="24" t="n">
        <v>25.9</v>
      </c>
      <c r="E42" s="15" t="n">
        <v>0.32</v>
      </c>
      <c r="F42" s="15" t="n">
        <v>0.19</v>
      </c>
      <c r="G42" s="5" t="s">
        <v>175</v>
      </c>
      <c r="H42" s="6" t="n">
        <v>0</v>
      </c>
      <c r="I42" s="5" t="s">
        <v>28</v>
      </c>
    </row>
    <row r="43" customFormat="false" ht="15" hidden="false" customHeight="false" outlineLevel="0" collapsed="false">
      <c r="A43" s="5" t="s">
        <v>210</v>
      </c>
      <c r="B43" s="15" t="n">
        <v>7.3</v>
      </c>
      <c r="C43" s="15" t="n">
        <v>0.4</v>
      </c>
      <c r="D43" s="24" t="n">
        <v>26.1</v>
      </c>
      <c r="E43" s="15" t="n">
        <v>0.17</v>
      </c>
      <c r="F43" s="15" t="n">
        <v>0.14</v>
      </c>
      <c r="G43" s="5" t="s">
        <v>178</v>
      </c>
      <c r="H43" s="6" t="n">
        <v>1</v>
      </c>
      <c r="I43" s="5" t="s">
        <v>211</v>
      </c>
    </row>
    <row r="44" customFormat="false" ht="15" hidden="false" customHeight="false" outlineLevel="0" collapsed="false">
      <c r="A44" s="5" t="s">
        <v>212</v>
      </c>
      <c r="B44" s="15" t="n">
        <v>7.3</v>
      </c>
      <c r="C44" s="15" t="n">
        <v>1.2</v>
      </c>
      <c r="D44" s="24" t="n">
        <v>26</v>
      </c>
      <c r="E44" s="15" t="n">
        <v>0.17</v>
      </c>
      <c r="F44" s="15" t="n">
        <v>0.13</v>
      </c>
      <c r="G44" s="5" t="s">
        <v>175</v>
      </c>
      <c r="H44" s="6" t="n">
        <v>0</v>
      </c>
      <c r="I44" s="5" t="s">
        <v>28</v>
      </c>
    </row>
    <row r="45" customFormat="false" ht="15" hidden="false" customHeight="false" outlineLevel="0" collapsed="false">
      <c r="A45" s="5" t="s">
        <v>213</v>
      </c>
      <c r="B45" s="15" t="n">
        <v>7.5</v>
      </c>
      <c r="C45" s="15" t="n">
        <v>1</v>
      </c>
      <c r="D45" s="24" t="n">
        <v>25.9</v>
      </c>
      <c r="E45" s="15" t="n">
        <v>0.23</v>
      </c>
      <c r="F45" s="15" t="n">
        <v>0.11</v>
      </c>
      <c r="G45" s="5" t="s">
        <v>175</v>
      </c>
      <c r="H45" s="6" t="n">
        <v>0</v>
      </c>
      <c r="I45" s="5" t="s">
        <v>28</v>
      </c>
    </row>
    <row r="46" customFormat="false" ht="15" hidden="false" customHeight="false" outlineLevel="0" collapsed="false">
      <c r="A46" s="5" t="s">
        <v>214</v>
      </c>
      <c r="B46" s="15" t="n">
        <v>7.3</v>
      </c>
      <c r="C46" s="15" t="n">
        <v>1.1</v>
      </c>
      <c r="D46" s="24" t="n">
        <v>26</v>
      </c>
      <c r="E46" s="15" t="n">
        <v>0.22</v>
      </c>
      <c r="F46" s="15" t="n">
        <v>0.11</v>
      </c>
      <c r="G46" s="5" t="s">
        <v>175</v>
      </c>
      <c r="H46" s="6" t="n">
        <v>0</v>
      </c>
      <c r="I46" s="5" t="s">
        <v>28</v>
      </c>
    </row>
    <row r="47" customFormat="false" ht="15" hidden="false" customHeight="false" outlineLevel="0" collapsed="false">
      <c r="A47" s="5" t="s">
        <v>215</v>
      </c>
      <c r="B47" s="15" t="n">
        <v>7.4</v>
      </c>
      <c r="C47" s="15" t="n">
        <v>1.3</v>
      </c>
      <c r="D47" s="24" t="n">
        <v>25.8</v>
      </c>
      <c r="E47" s="15" t="n">
        <v>0.19</v>
      </c>
      <c r="F47" s="15" t="n">
        <v>0.15</v>
      </c>
      <c r="G47" s="5" t="s">
        <v>175</v>
      </c>
      <c r="H47" s="6" t="n">
        <v>0</v>
      </c>
      <c r="I47" s="5" t="s">
        <v>28</v>
      </c>
    </row>
    <row r="48" customFormat="false" ht="15" hidden="false" customHeight="false" outlineLevel="0" collapsed="false">
      <c r="A48" s="5" t="s">
        <v>216</v>
      </c>
      <c r="B48" s="15" t="n">
        <v>7.3</v>
      </c>
      <c r="C48" s="15" t="n">
        <v>1.4</v>
      </c>
      <c r="D48" s="24" t="n">
        <v>25.9</v>
      </c>
      <c r="E48" s="15" t="n">
        <v>0.17</v>
      </c>
      <c r="F48" s="15" t="n">
        <v>0.18</v>
      </c>
      <c r="G48" s="5" t="s">
        <v>175</v>
      </c>
      <c r="H48" s="6" t="n">
        <v>0</v>
      </c>
      <c r="I48" s="5" t="s">
        <v>28</v>
      </c>
    </row>
    <row r="49" customFormat="false" ht="15" hidden="false" customHeight="false" outlineLevel="0" collapsed="false">
      <c r="A49" s="5" t="s">
        <v>217</v>
      </c>
      <c r="B49" s="15" t="n">
        <v>7.5</v>
      </c>
      <c r="C49" s="15" t="n">
        <v>1.1</v>
      </c>
      <c r="D49" s="24" t="n">
        <v>25.8</v>
      </c>
      <c r="E49" s="15" t="n">
        <v>0.23</v>
      </c>
      <c r="F49" s="15" t="n">
        <v>0.16</v>
      </c>
      <c r="G49" s="5" t="s">
        <v>175</v>
      </c>
      <c r="H49" s="6" t="n">
        <v>0</v>
      </c>
      <c r="I49" s="5" t="s">
        <v>28</v>
      </c>
    </row>
    <row r="50" customFormat="false" ht="15" hidden="false" customHeight="false" outlineLevel="0" collapsed="false">
      <c r="A50" s="5" t="s">
        <v>218</v>
      </c>
      <c r="B50" s="15" t="n">
        <v>7.3</v>
      </c>
      <c r="C50" s="15" t="n">
        <v>1</v>
      </c>
      <c r="D50" s="24" t="n">
        <v>25.7</v>
      </c>
      <c r="E50" s="15" t="n">
        <v>0.31</v>
      </c>
      <c r="F50" s="15" t="n">
        <v>0.16</v>
      </c>
      <c r="G50" s="5" t="s">
        <v>175</v>
      </c>
      <c r="H50" s="6" t="n">
        <v>0</v>
      </c>
      <c r="I50" s="5" t="s">
        <v>28</v>
      </c>
    </row>
    <row r="51" customFormat="false" ht="15" hidden="false" customHeight="false" outlineLevel="0" collapsed="false">
      <c r="A51" s="5" t="s">
        <v>219</v>
      </c>
      <c r="B51" s="15" t="n">
        <v>7.4</v>
      </c>
      <c r="C51" s="15" t="n">
        <v>1</v>
      </c>
      <c r="D51" s="24" t="n">
        <v>25.8</v>
      </c>
      <c r="E51" s="15" t="n">
        <v>0.19</v>
      </c>
      <c r="F51" s="15" t="n">
        <v>0.11</v>
      </c>
      <c r="G51" s="5" t="s">
        <v>175</v>
      </c>
      <c r="H51" s="6" t="n">
        <v>0</v>
      </c>
      <c r="I51" s="5" t="s">
        <v>28</v>
      </c>
    </row>
    <row r="52" customFormat="false" ht="15" hidden="false" customHeight="false" outlineLevel="0" collapsed="false">
      <c r="A52" s="5" t="s">
        <v>220</v>
      </c>
      <c r="B52" s="15" t="n">
        <v>7.3</v>
      </c>
      <c r="C52" s="15" t="n">
        <v>1.3</v>
      </c>
      <c r="D52" s="24" t="n">
        <v>25.6</v>
      </c>
      <c r="E52" s="15" t="n">
        <v>0.23</v>
      </c>
      <c r="F52" s="15" t="n">
        <v>0.17</v>
      </c>
      <c r="G52" s="5" t="s">
        <v>175</v>
      </c>
      <c r="H52" s="6" t="n">
        <v>0</v>
      </c>
      <c r="I52" s="5" t="s">
        <v>28</v>
      </c>
    </row>
    <row r="53" customFormat="false" ht="15" hidden="false" customHeight="false" outlineLevel="0" collapsed="false">
      <c r="A53" s="5" t="s">
        <v>221</v>
      </c>
      <c r="B53" s="15" t="n">
        <v>7.4</v>
      </c>
      <c r="C53" s="15" t="n">
        <v>1.2</v>
      </c>
      <c r="D53" s="24" t="n">
        <v>25.6</v>
      </c>
      <c r="E53" s="15" t="n">
        <v>0.23</v>
      </c>
      <c r="F53" s="15" t="n">
        <v>0.16</v>
      </c>
      <c r="G53" s="5" t="s">
        <v>175</v>
      </c>
      <c r="H53" s="6" t="n">
        <v>0</v>
      </c>
      <c r="I53" s="5" t="s">
        <v>28</v>
      </c>
    </row>
    <row r="54" customFormat="false" ht="15" hidden="false" customHeight="false" outlineLevel="0" collapsed="false">
      <c r="A54" s="5" t="s">
        <v>222</v>
      </c>
      <c r="B54" s="15" t="n">
        <v>7.7</v>
      </c>
      <c r="C54" s="15" t="n">
        <v>0.9</v>
      </c>
      <c r="D54" s="24" t="n">
        <v>25.5</v>
      </c>
      <c r="E54" s="15" t="n">
        <v>0.24</v>
      </c>
      <c r="F54" s="15" t="n">
        <v>0.11</v>
      </c>
      <c r="G54" s="5" t="s">
        <v>178</v>
      </c>
      <c r="H54" s="6" t="n">
        <v>1</v>
      </c>
      <c r="I54" s="5" t="s">
        <v>223</v>
      </c>
    </row>
    <row r="55" customFormat="false" ht="15" hidden="false" customHeight="false" outlineLevel="0" collapsed="false">
      <c r="A55" s="5" t="s">
        <v>224</v>
      </c>
      <c r="B55" s="15" t="n">
        <v>7.4</v>
      </c>
      <c r="C55" s="15" t="n">
        <v>1.4</v>
      </c>
      <c r="D55" s="24" t="n">
        <v>25.6</v>
      </c>
      <c r="E55" s="15" t="n">
        <v>0.16</v>
      </c>
      <c r="F55" s="15" t="n">
        <v>0.12</v>
      </c>
      <c r="G55" s="5" t="s">
        <v>175</v>
      </c>
      <c r="H55" s="6" t="n">
        <v>0</v>
      </c>
      <c r="I55" s="5" t="s">
        <v>28</v>
      </c>
    </row>
    <row r="56" customFormat="false" ht="15" hidden="false" customHeight="false" outlineLevel="0" collapsed="false">
      <c r="A56" s="5" t="s">
        <v>225</v>
      </c>
      <c r="B56" s="15" t="n">
        <v>7.3</v>
      </c>
      <c r="C56" s="15" t="n">
        <v>1.3</v>
      </c>
      <c r="D56" s="24" t="n">
        <v>25.4</v>
      </c>
      <c r="E56" s="15" t="n">
        <v>0.34</v>
      </c>
      <c r="F56" s="15" t="n">
        <v>0.19</v>
      </c>
      <c r="G56" s="5" t="s">
        <v>175</v>
      </c>
      <c r="H56" s="6" t="n">
        <v>0</v>
      </c>
      <c r="I56" s="5" t="s">
        <v>28</v>
      </c>
    </row>
    <row r="57" customFormat="false" ht="15" hidden="false" customHeight="false" outlineLevel="0" collapsed="false">
      <c r="A57" s="5" t="s">
        <v>226</v>
      </c>
      <c r="B57" s="15" t="n">
        <v>7.5</v>
      </c>
      <c r="C57" s="15" t="n">
        <v>1.1</v>
      </c>
      <c r="D57" s="24" t="n">
        <v>25.5</v>
      </c>
      <c r="E57" s="15" t="n">
        <v>0.31</v>
      </c>
      <c r="F57" s="15" t="n">
        <v>0.2</v>
      </c>
      <c r="G57" s="5" t="s">
        <v>175</v>
      </c>
      <c r="H57" s="6" t="n">
        <v>0</v>
      </c>
      <c r="I57" s="5" t="s">
        <v>28</v>
      </c>
    </row>
    <row r="58" customFormat="false" ht="15" hidden="false" customHeight="false" outlineLevel="0" collapsed="false">
      <c r="A58" s="5" t="s">
        <v>227</v>
      </c>
      <c r="B58" s="15" t="n">
        <v>7.3</v>
      </c>
      <c r="C58" s="15" t="n">
        <v>1</v>
      </c>
      <c r="D58" s="24" t="n">
        <v>25.4</v>
      </c>
      <c r="E58" s="15" t="n">
        <v>0.22</v>
      </c>
      <c r="F58" s="15" t="n">
        <v>0.12</v>
      </c>
      <c r="G58" s="5" t="s">
        <v>175</v>
      </c>
      <c r="H58" s="6" t="n">
        <v>0</v>
      </c>
      <c r="I58" s="5" t="s">
        <v>28</v>
      </c>
    </row>
    <row r="59" customFormat="false" ht="15" hidden="false" customHeight="false" outlineLevel="0" collapsed="false">
      <c r="A59" s="5" t="s">
        <v>228</v>
      </c>
      <c r="B59" s="15" t="n">
        <v>7.5</v>
      </c>
      <c r="C59" s="15" t="n">
        <v>1.3</v>
      </c>
      <c r="D59" s="24" t="n">
        <v>25.3</v>
      </c>
      <c r="E59" s="15" t="n">
        <v>0.23</v>
      </c>
      <c r="F59" s="15" t="n">
        <v>0.18</v>
      </c>
      <c r="G59" s="5" t="s">
        <v>175</v>
      </c>
      <c r="H59" s="6" t="n">
        <v>0</v>
      </c>
      <c r="I59" s="5" t="s">
        <v>28</v>
      </c>
    </row>
    <row r="60" customFormat="false" ht="15" hidden="false" customHeight="false" outlineLevel="0" collapsed="false">
      <c r="A60" s="5" t="s">
        <v>229</v>
      </c>
      <c r="B60" s="15" t="n">
        <v>7.5</v>
      </c>
      <c r="C60" s="15" t="n">
        <v>1.3</v>
      </c>
      <c r="D60" s="24" t="n">
        <v>25.4</v>
      </c>
      <c r="E60" s="15" t="n">
        <v>0.15</v>
      </c>
      <c r="F60" s="15" t="n">
        <v>0.12</v>
      </c>
      <c r="G60" s="5" t="s">
        <v>175</v>
      </c>
      <c r="H60" s="6" t="n">
        <v>0</v>
      </c>
      <c r="I60" s="5" t="s">
        <v>28</v>
      </c>
    </row>
    <row r="61" customFormat="false" ht="15" hidden="false" customHeight="false" outlineLevel="0" collapsed="false">
      <c r="A61" s="12" t="s">
        <v>230</v>
      </c>
      <c r="B61" s="16" t="n">
        <f aca="false">AVERAGE(B13:B60)</f>
        <v>7.40208333333333</v>
      </c>
      <c r="C61" s="16" t="n">
        <f aca="false">AVERAGE(C13:C60)</f>
        <v>1.13958333333333</v>
      </c>
      <c r="D61" s="16" t="n">
        <f aca="false">AVERAGE(D13:D60)</f>
        <v>27.0520833333333</v>
      </c>
      <c r="E61" s="16" t="n">
        <f aca="false">AVERAGE(E13:E60)</f>
        <v>0.24375</v>
      </c>
      <c r="F61" s="16" t="n">
        <f aca="false">AVERAGE(F13:F60)</f>
        <v>0.16625</v>
      </c>
      <c r="G61" s="4"/>
      <c r="H61" s="7" t="n">
        <f aca="false">SUM(H13:H60)</f>
        <v>5</v>
      </c>
      <c r="I61" s="4"/>
    </row>
  </sheetData>
  <mergeCells count="3">
    <mergeCell ref="A1:I1"/>
    <mergeCell ref="A3:B3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4" min="11" style="0" width="10"/>
  </cols>
  <sheetData>
    <row r="1" customFormat="false" ht="34.5" hidden="false" customHeight="true" outlineLevel="0" collapsed="false">
      <c r="A1" s="21" t="s">
        <v>231</v>
      </c>
      <c r="B1" s="21"/>
      <c r="C1" s="21"/>
      <c r="D1" s="21"/>
      <c r="E1" s="21"/>
      <c r="F1" s="21"/>
      <c r="G1" s="21"/>
      <c r="H1" s="21"/>
      <c r="I1" s="21"/>
      <c r="J1" s="21"/>
    </row>
    <row r="3" customFormat="false" ht="21.75" hidden="false" customHeight="true" outlineLevel="0" collapsed="false">
      <c r="A3" s="4" t="s">
        <v>232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21.75" hidden="false" customHeight="true" outlineLevel="0" collapsed="false">
      <c r="A4" s="4" t="s">
        <v>74</v>
      </c>
      <c r="B4" s="4" t="s">
        <v>63</v>
      </c>
      <c r="C4" s="4" t="s">
        <v>64</v>
      </c>
      <c r="D4" s="4" t="s">
        <v>65</v>
      </c>
      <c r="E4" s="4" t="s">
        <v>233</v>
      </c>
      <c r="F4" s="4" t="s">
        <v>67</v>
      </c>
      <c r="G4" s="4" t="s">
        <v>68</v>
      </c>
      <c r="H4" s="4" t="s">
        <v>234</v>
      </c>
      <c r="I4" s="4" t="s">
        <v>235</v>
      </c>
      <c r="J4" s="4" t="s">
        <v>236</v>
      </c>
    </row>
    <row r="5" customFormat="false" ht="15" hidden="false" customHeight="false" outlineLevel="0" collapsed="false">
      <c r="A5" s="5" t="s">
        <v>82</v>
      </c>
      <c r="B5" s="6" t="n">
        <v>8020</v>
      </c>
      <c r="C5" s="6" t="n">
        <v>1214</v>
      </c>
      <c r="D5" s="6" t="n">
        <v>420</v>
      </c>
      <c r="E5" s="10" t="n">
        <v>1363</v>
      </c>
      <c r="F5" s="10" t="n">
        <v>1093</v>
      </c>
      <c r="G5" s="10" t="n">
        <v>840</v>
      </c>
      <c r="H5" s="11" t="n">
        <f aca="false">SUM(E5:G5)</f>
        <v>3296</v>
      </c>
      <c r="I5" s="17" t="n">
        <f aca="false">IF(B5&lt;&gt;0,E5/B5,0)</f>
        <v>0.169950124688279</v>
      </c>
      <c r="J5" s="19" t="n">
        <f aca="false">IF(C5&lt;&gt;0,F5/C5,0)</f>
        <v>0.900329489291598</v>
      </c>
    </row>
    <row r="6" customFormat="false" ht="15" hidden="false" customHeight="false" outlineLevel="0" collapsed="false">
      <c r="A6" s="5" t="s">
        <v>83</v>
      </c>
      <c r="B6" s="6" t="n">
        <v>7950</v>
      </c>
      <c r="C6" s="6" t="n">
        <v>1217</v>
      </c>
      <c r="D6" s="6" t="n">
        <v>423</v>
      </c>
      <c r="E6" s="10" t="n">
        <v>1352</v>
      </c>
      <c r="F6" s="10" t="n">
        <v>1095</v>
      </c>
      <c r="G6" s="10" t="n">
        <v>846</v>
      </c>
      <c r="H6" s="11" t="n">
        <f aca="false">SUM(E6:G6)</f>
        <v>3293</v>
      </c>
      <c r="I6" s="17" t="n">
        <f aca="false">IF(B6&lt;&gt;0,E6/B6,0)</f>
        <v>0.170062893081761</v>
      </c>
      <c r="J6" s="19" t="n">
        <f aca="false">IF(C6&lt;&gt;0,F6/C6,0)</f>
        <v>0.899753492193919</v>
      </c>
    </row>
    <row r="7" customFormat="false" ht="15" hidden="false" customHeight="false" outlineLevel="0" collapsed="false">
      <c r="A7" s="5" t="s">
        <v>84</v>
      </c>
      <c r="B7" s="6" t="n">
        <v>8170</v>
      </c>
      <c r="C7" s="6" t="n">
        <v>1204</v>
      </c>
      <c r="D7" s="6" t="n">
        <v>420</v>
      </c>
      <c r="E7" s="10" t="n">
        <v>1389</v>
      </c>
      <c r="F7" s="10" t="n">
        <v>1084</v>
      </c>
      <c r="G7" s="10" t="n">
        <v>840</v>
      </c>
      <c r="H7" s="11" t="n">
        <f aca="false">SUM(E7:G7)</f>
        <v>3313</v>
      </c>
      <c r="I7" s="17" t="n">
        <f aca="false">IF(B7&lt;&gt;0,E7/B7,0)</f>
        <v>0.170012239902081</v>
      </c>
      <c r="J7" s="19" t="n">
        <f aca="false">IF(C7&lt;&gt;0,F7/C7,0)</f>
        <v>0.900332225913621</v>
      </c>
    </row>
    <row r="8" customFormat="false" ht="15" hidden="false" customHeight="false" outlineLevel="0" collapsed="false">
      <c r="A8" s="5" t="s">
        <v>85</v>
      </c>
      <c r="B8" s="6" t="n">
        <v>8120</v>
      </c>
      <c r="C8" s="6" t="n">
        <v>1228</v>
      </c>
      <c r="D8" s="6" t="n">
        <v>421</v>
      </c>
      <c r="E8" s="10" t="n">
        <v>1380</v>
      </c>
      <c r="F8" s="10" t="n">
        <v>1105</v>
      </c>
      <c r="G8" s="10" t="n">
        <v>842</v>
      </c>
      <c r="H8" s="11" t="n">
        <f aca="false">SUM(E8:G8)</f>
        <v>3327</v>
      </c>
      <c r="I8" s="17" t="n">
        <f aca="false">IF(B8&lt;&gt;0,E8/B8,0)</f>
        <v>0.169950738916256</v>
      </c>
      <c r="J8" s="19" t="n">
        <f aca="false">IF(C8&lt;&gt;0,F8/C8,0)</f>
        <v>0.899837133550489</v>
      </c>
    </row>
    <row r="9" customFormat="false" ht="15" hidden="false" customHeight="false" outlineLevel="0" collapsed="false">
      <c r="A9" s="5" t="s">
        <v>88</v>
      </c>
      <c r="B9" s="6" t="n">
        <v>8060</v>
      </c>
      <c r="C9" s="6" t="n">
        <v>1226</v>
      </c>
      <c r="D9" s="6" t="n">
        <v>435</v>
      </c>
      <c r="E9" s="10" t="n">
        <v>1378</v>
      </c>
      <c r="F9" s="10" t="n">
        <v>1116</v>
      </c>
      <c r="G9" s="10" t="n">
        <v>870</v>
      </c>
      <c r="H9" s="11" t="n">
        <f aca="false">SUM(E9:G9)</f>
        <v>3364</v>
      </c>
      <c r="I9" s="17" t="n">
        <f aca="false">IF(B9&lt;&gt;0,E9/B9,0)</f>
        <v>0.170967741935484</v>
      </c>
      <c r="J9" s="19" t="n">
        <f aca="false">IF(C9&lt;&gt;0,F9/C9,0)</f>
        <v>0.910277324632953</v>
      </c>
    </row>
    <row r="10" customFormat="false" ht="15" hidden="false" customHeight="false" outlineLevel="0" collapsed="false">
      <c r="A10" s="5" t="s">
        <v>89</v>
      </c>
      <c r="B10" s="6" t="n">
        <v>7940</v>
      </c>
      <c r="C10" s="6" t="n">
        <v>1220</v>
      </c>
      <c r="D10" s="6" t="n">
        <v>425</v>
      </c>
      <c r="E10" s="10" t="n">
        <v>1358</v>
      </c>
      <c r="F10" s="10" t="n">
        <v>1110</v>
      </c>
      <c r="G10" s="10" t="n">
        <v>850</v>
      </c>
      <c r="H10" s="11" t="n">
        <f aca="false">SUM(E10:G10)</f>
        <v>3318</v>
      </c>
      <c r="I10" s="17" t="n">
        <f aca="false">IF(B10&lt;&gt;0,E10/B10,0)</f>
        <v>0.17103274559194</v>
      </c>
      <c r="J10" s="19" t="n">
        <f aca="false">IF(C10&lt;&gt;0,F10/C10,0)</f>
        <v>0.909836065573771</v>
      </c>
    </row>
    <row r="11" customFormat="false" ht="15" hidden="false" customHeight="false" outlineLevel="0" collapsed="false">
      <c r="A11" s="5" t="s">
        <v>90</v>
      </c>
      <c r="B11" s="6" t="n">
        <v>8100</v>
      </c>
      <c r="C11" s="6" t="n">
        <v>1229</v>
      </c>
      <c r="D11" s="6" t="n">
        <v>425</v>
      </c>
      <c r="E11" s="10" t="n">
        <v>1385</v>
      </c>
      <c r="F11" s="10" t="n">
        <v>1118</v>
      </c>
      <c r="G11" s="10" t="n">
        <v>850</v>
      </c>
      <c r="H11" s="11" t="n">
        <f aca="false">SUM(E11:G11)</f>
        <v>3353</v>
      </c>
      <c r="I11" s="17" t="n">
        <f aca="false">IF(B11&lt;&gt;0,E11/B11,0)</f>
        <v>0.170987654320988</v>
      </c>
      <c r="J11" s="19" t="n">
        <f aca="false">IF(C11&lt;&gt;0,F11/C11,0)</f>
        <v>0.909682668836452</v>
      </c>
    </row>
    <row r="12" customFormat="false" ht="15" hidden="false" customHeight="false" outlineLevel="0" collapsed="false">
      <c r="A12" s="5" t="s">
        <v>91</v>
      </c>
      <c r="B12" s="6" t="n">
        <v>8150</v>
      </c>
      <c r="C12" s="6" t="n">
        <v>1228</v>
      </c>
      <c r="D12" s="6" t="n">
        <v>426</v>
      </c>
      <c r="E12" s="10" t="n">
        <v>1394</v>
      </c>
      <c r="F12" s="10" t="n">
        <v>1117</v>
      </c>
      <c r="G12" s="10" t="n">
        <v>852</v>
      </c>
      <c r="H12" s="11" t="n">
        <f aca="false">SUM(E12:G12)</f>
        <v>3363</v>
      </c>
      <c r="I12" s="17" t="n">
        <f aca="false">IF(B12&lt;&gt;0,E12/B12,0)</f>
        <v>0.171042944785276</v>
      </c>
      <c r="J12" s="19" t="n">
        <f aca="false">IF(C12&lt;&gt;0,F12/C12,0)</f>
        <v>0.909609120521173</v>
      </c>
    </row>
    <row r="13" customFormat="false" ht="15" hidden="false" customHeight="false" outlineLevel="0" collapsed="false">
      <c r="A13" s="5" t="s">
        <v>94</v>
      </c>
      <c r="B13" s="6" t="n">
        <v>7810</v>
      </c>
      <c r="C13" s="6" t="n">
        <v>1089</v>
      </c>
      <c r="D13" s="6" t="n">
        <v>423</v>
      </c>
      <c r="E13" s="10" t="n">
        <v>1375</v>
      </c>
      <c r="F13" s="10" t="n">
        <v>1045</v>
      </c>
      <c r="G13" s="10" t="n">
        <v>846</v>
      </c>
      <c r="H13" s="11" t="n">
        <f aca="false">SUM(E13:G13)</f>
        <v>3266</v>
      </c>
      <c r="I13" s="17" t="n">
        <f aca="false">IF(B13&lt;&gt;0,E13/B13,0)</f>
        <v>0.176056338028169</v>
      </c>
      <c r="J13" s="19" t="n">
        <f aca="false">IF(C13&lt;&gt;0,F13/C13,0)</f>
        <v>0.95959595959596</v>
      </c>
    </row>
    <row r="14" customFormat="false" ht="15" hidden="false" customHeight="false" outlineLevel="0" collapsed="false">
      <c r="A14" s="5" t="s">
        <v>95</v>
      </c>
      <c r="B14" s="6" t="n">
        <v>7720</v>
      </c>
      <c r="C14" s="6" t="n">
        <v>1110</v>
      </c>
      <c r="D14" s="6" t="n">
        <v>428</v>
      </c>
      <c r="E14" s="10" t="n">
        <v>1359</v>
      </c>
      <c r="F14" s="10" t="n">
        <v>1066</v>
      </c>
      <c r="G14" s="10" t="n">
        <v>856</v>
      </c>
      <c r="H14" s="11" t="n">
        <f aca="false">SUM(E14:G14)</f>
        <v>3281</v>
      </c>
      <c r="I14" s="17" t="n">
        <f aca="false">IF(B14&lt;&gt;0,E14/B14,0)</f>
        <v>0.176036269430052</v>
      </c>
      <c r="J14" s="19" t="n">
        <f aca="false">IF(C14&lt;&gt;0,F14/C14,0)</f>
        <v>0.96036036036036</v>
      </c>
    </row>
    <row r="15" customFormat="false" ht="15" hidden="false" customHeight="false" outlineLevel="0" collapsed="false">
      <c r="A15" s="5" t="s">
        <v>96</v>
      </c>
      <c r="B15" s="6" t="n">
        <v>8010</v>
      </c>
      <c r="C15" s="6" t="n">
        <v>1077</v>
      </c>
      <c r="D15" s="6" t="n">
        <v>427</v>
      </c>
      <c r="E15" s="10" t="n">
        <v>1410</v>
      </c>
      <c r="F15" s="10" t="n">
        <v>1034</v>
      </c>
      <c r="G15" s="10" t="n">
        <v>854</v>
      </c>
      <c r="H15" s="11" t="n">
        <f aca="false">SUM(E15:G15)</f>
        <v>3298</v>
      </c>
      <c r="I15" s="17" t="n">
        <f aca="false">IF(B15&lt;&gt;0,E15/B15,0)</f>
        <v>0.176029962546817</v>
      </c>
      <c r="J15" s="19" t="n">
        <f aca="false">IF(C15&lt;&gt;0,F15/C15,0)</f>
        <v>0.960074280408542</v>
      </c>
    </row>
    <row r="16" customFormat="false" ht="15" hidden="false" customHeight="false" outlineLevel="0" collapsed="false">
      <c r="A16" s="5" t="s">
        <v>97</v>
      </c>
      <c r="B16" s="6" t="n">
        <v>7900</v>
      </c>
      <c r="C16" s="6" t="n">
        <v>1114</v>
      </c>
      <c r="D16" s="6" t="n">
        <v>419</v>
      </c>
      <c r="E16" s="10" t="n">
        <v>1390</v>
      </c>
      <c r="F16" s="10" t="n">
        <v>1069</v>
      </c>
      <c r="G16" s="10" t="n">
        <v>838</v>
      </c>
      <c r="H16" s="11" t="n">
        <f aca="false">SUM(E16:G16)</f>
        <v>3297</v>
      </c>
      <c r="I16" s="17" t="n">
        <f aca="false">IF(B16&lt;&gt;0,E16/B16,0)</f>
        <v>0.175949367088608</v>
      </c>
      <c r="J16" s="19" t="n">
        <f aca="false">IF(C16&lt;&gt;0,F16/C16,0)</f>
        <v>0.959605026929982</v>
      </c>
    </row>
    <row r="17" customFormat="false" ht="15" hidden="false" customHeight="false" outlineLevel="0" collapsed="false">
      <c r="A17" s="5" t="s">
        <v>100</v>
      </c>
      <c r="B17" s="6" t="n">
        <v>7630</v>
      </c>
      <c r="C17" s="6" t="n">
        <v>982</v>
      </c>
      <c r="D17" s="6" t="n">
        <v>421</v>
      </c>
      <c r="E17" s="10" t="n">
        <v>1511</v>
      </c>
      <c r="F17" s="10" t="n">
        <v>1100</v>
      </c>
      <c r="G17" s="10" t="n">
        <v>842</v>
      </c>
      <c r="H17" s="11" t="n">
        <f aca="false">SUM(E17:G17)</f>
        <v>3453</v>
      </c>
      <c r="I17" s="17" t="n">
        <f aca="false">IF(B17&lt;&gt;0,E17/B17,0)</f>
        <v>0.198034076015727</v>
      </c>
      <c r="J17" s="19" t="n">
        <f aca="false">IF(C17&lt;&gt;0,F17/C17,0)</f>
        <v>1.12016293279022</v>
      </c>
    </row>
    <row r="18" customFormat="false" ht="15" hidden="false" customHeight="false" outlineLevel="0" collapsed="false">
      <c r="A18" s="5" t="s">
        <v>101</v>
      </c>
      <c r="B18" s="6" t="n">
        <v>7750</v>
      </c>
      <c r="C18" s="6" t="n">
        <v>993</v>
      </c>
      <c r="D18" s="6" t="n">
        <v>424</v>
      </c>
      <c r="E18" s="10" t="n">
        <v>1534</v>
      </c>
      <c r="F18" s="10" t="n">
        <v>1112</v>
      </c>
      <c r="G18" s="10" t="n">
        <v>848</v>
      </c>
      <c r="H18" s="11" t="n">
        <f aca="false">SUM(E18:G18)</f>
        <v>3494</v>
      </c>
      <c r="I18" s="17" t="n">
        <f aca="false">IF(B18&lt;&gt;0,E18/B18,0)</f>
        <v>0.197935483870968</v>
      </c>
      <c r="J18" s="19" t="n">
        <f aca="false">IF(C18&lt;&gt;0,F18/C18,0)</f>
        <v>1.11983887210473</v>
      </c>
    </row>
    <row r="19" customFormat="false" ht="15" hidden="false" customHeight="false" outlineLevel="0" collapsed="false">
      <c r="A19" s="5" t="s">
        <v>102</v>
      </c>
      <c r="B19" s="6" t="n">
        <v>7730</v>
      </c>
      <c r="C19" s="6" t="n">
        <v>1007</v>
      </c>
      <c r="D19" s="6" t="n">
        <v>421</v>
      </c>
      <c r="E19" s="10" t="n">
        <v>1531</v>
      </c>
      <c r="F19" s="10" t="n">
        <v>1128</v>
      </c>
      <c r="G19" s="10" t="n">
        <v>842</v>
      </c>
      <c r="H19" s="11" t="n">
        <f aca="false">SUM(E19:G19)</f>
        <v>3501</v>
      </c>
      <c r="I19" s="17" t="n">
        <f aca="false">IF(B19&lt;&gt;0,E19/B19,0)</f>
        <v>0.198059508408797</v>
      </c>
      <c r="J19" s="19" t="n">
        <f aca="false">IF(C19&lt;&gt;0,F19/C19,0)</f>
        <v>1.1201588877855</v>
      </c>
    </row>
    <row r="20" customFormat="false" ht="15" hidden="false" customHeight="false" outlineLevel="0" collapsed="false">
      <c r="A20" s="5" t="s">
        <v>103</v>
      </c>
      <c r="B20" s="6" t="n">
        <v>7630</v>
      </c>
      <c r="C20" s="6" t="n">
        <v>1002</v>
      </c>
      <c r="D20" s="6" t="n">
        <v>423</v>
      </c>
      <c r="E20" s="10" t="n">
        <v>1511</v>
      </c>
      <c r="F20" s="10" t="n">
        <v>1122</v>
      </c>
      <c r="G20" s="10" t="n">
        <v>846</v>
      </c>
      <c r="H20" s="11" t="n">
        <f aca="false">SUM(E20:G20)</f>
        <v>3479</v>
      </c>
      <c r="I20" s="17" t="n">
        <f aca="false">IF(B20&lt;&gt;0,E20/B20,0)</f>
        <v>0.198034076015727</v>
      </c>
      <c r="J20" s="19" t="n">
        <f aca="false">IF(C20&lt;&gt;0,F20/C20,0)</f>
        <v>1.11976047904192</v>
      </c>
    </row>
    <row r="21" customFormat="false" ht="15" hidden="false" customHeight="false" outlineLevel="0" collapsed="false">
      <c r="A21" s="5" t="s">
        <v>106</v>
      </c>
      <c r="B21" s="6" t="n">
        <v>7490</v>
      </c>
      <c r="C21" s="6" t="n">
        <v>915</v>
      </c>
      <c r="D21" s="6" t="n">
        <v>409</v>
      </c>
      <c r="E21" s="10" t="n">
        <v>1655</v>
      </c>
      <c r="F21" s="10" t="n">
        <v>1199</v>
      </c>
      <c r="G21" s="10" t="n">
        <v>818</v>
      </c>
      <c r="H21" s="11" t="n">
        <f aca="false">SUM(E21:G21)</f>
        <v>3672</v>
      </c>
      <c r="I21" s="17" t="n">
        <f aca="false">IF(B21&lt;&gt;0,E21/B21,0)</f>
        <v>0.220961281708945</v>
      </c>
      <c r="J21" s="19" t="n">
        <f aca="false">IF(C21&lt;&gt;0,F21/C21,0)</f>
        <v>1.3103825136612</v>
      </c>
    </row>
    <row r="22" customFormat="false" ht="15" hidden="false" customHeight="false" outlineLevel="0" collapsed="false">
      <c r="A22" s="5" t="s">
        <v>107</v>
      </c>
      <c r="B22" s="6" t="n">
        <v>7470</v>
      </c>
      <c r="C22" s="6" t="n">
        <v>909</v>
      </c>
      <c r="D22" s="6" t="n">
        <v>408</v>
      </c>
      <c r="E22" s="10" t="n">
        <v>1651</v>
      </c>
      <c r="F22" s="10" t="n">
        <v>1191</v>
      </c>
      <c r="G22" s="10" t="n">
        <v>816</v>
      </c>
      <c r="H22" s="11" t="n">
        <f aca="false">SUM(E22:G22)</f>
        <v>3658</v>
      </c>
      <c r="I22" s="17" t="n">
        <f aca="false">IF(B22&lt;&gt;0,E22/B22,0)</f>
        <v>0.221017402945114</v>
      </c>
      <c r="J22" s="19" t="n">
        <f aca="false">IF(C22&lt;&gt;0,F22/C22,0)</f>
        <v>1.31023102310231</v>
      </c>
    </row>
    <row r="23" customFormat="false" ht="15" hidden="false" customHeight="false" outlineLevel="0" collapsed="false">
      <c r="A23" s="5" t="s">
        <v>108</v>
      </c>
      <c r="B23" s="6" t="n">
        <v>7490</v>
      </c>
      <c r="C23" s="6" t="n">
        <v>932</v>
      </c>
      <c r="D23" s="6" t="n">
        <v>414</v>
      </c>
      <c r="E23" s="10" t="n">
        <v>1655</v>
      </c>
      <c r="F23" s="10" t="n">
        <v>1221</v>
      </c>
      <c r="G23" s="10" t="n">
        <v>828</v>
      </c>
      <c r="H23" s="11" t="n">
        <f aca="false">SUM(E23:G23)</f>
        <v>3704</v>
      </c>
      <c r="I23" s="17" t="n">
        <f aca="false">IF(B23&lt;&gt;0,E23/B23,0)</f>
        <v>0.220961281708945</v>
      </c>
      <c r="J23" s="19" t="n">
        <f aca="false">IF(C23&lt;&gt;0,F23/C23,0)</f>
        <v>1.31008583690987</v>
      </c>
    </row>
    <row r="24" customFormat="false" ht="15" hidden="false" customHeight="false" outlineLevel="0" collapsed="false">
      <c r="A24" s="5" t="s">
        <v>109</v>
      </c>
      <c r="B24" s="6" t="n">
        <v>7660</v>
      </c>
      <c r="C24" s="6" t="n">
        <v>902</v>
      </c>
      <c r="D24" s="6" t="n">
        <v>413</v>
      </c>
      <c r="E24" s="10" t="n">
        <v>1693</v>
      </c>
      <c r="F24" s="10" t="n">
        <v>1182</v>
      </c>
      <c r="G24" s="10" t="n">
        <v>826</v>
      </c>
      <c r="H24" s="11" t="n">
        <f aca="false">SUM(E24:G24)</f>
        <v>3701</v>
      </c>
      <c r="I24" s="17" t="n">
        <f aca="false">IF(B24&lt;&gt;0,E24/B24,0)</f>
        <v>0.221018276762402</v>
      </c>
      <c r="J24" s="19" t="n">
        <f aca="false">IF(C24&lt;&gt;0,F24/C24,0)</f>
        <v>1.31042128603104</v>
      </c>
    </row>
    <row r="25" customFormat="false" ht="15" hidden="false" customHeight="false" outlineLevel="0" collapsed="false">
      <c r="A25" s="5" t="s">
        <v>112</v>
      </c>
      <c r="B25" s="6" t="n">
        <v>7630</v>
      </c>
      <c r="C25" s="6" t="n">
        <v>855</v>
      </c>
      <c r="D25" s="6" t="n">
        <v>424</v>
      </c>
      <c r="E25" s="10" t="n">
        <v>1854</v>
      </c>
      <c r="F25" s="10" t="n">
        <v>1300</v>
      </c>
      <c r="G25" s="10" t="n">
        <v>848</v>
      </c>
      <c r="H25" s="11" t="n">
        <f aca="false">SUM(E25:G25)</f>
        <v>4002</v>
      </c>
      <c r="I25" s="17" t="n">
        <f aca="false">IF(B25&lt;&gt;0,E25/B25,0)</f>
        <v>0.242988204456094</v>
      </c>
      <c r="J25" s="19" t="n">
        <f aca="false">IF(C25&lt;&gt;0,F25/C25,0)</f>
        <v>1.52046783625731</v>
      </c>
    </row>
    <row r="26" customFormat="false" ht="15" hidden="false" customHeight="false" outlineLevel="0" collapsed="false">
      <c r="A26" s="5" t="s">
        <v>113</v>
      </c>
      <c r="B26" s="6" t="n">
        <v>7430</v>
      </c>
      <c r="C26" s="6" t="n">
        <v>859</v>
      </c>
      <c r="D26" s="6" t="n">
        <v>425</v>
      </c>
      <c r="E26" s="10" t="n">
        <v>1805</v>
      </c>
      <c r="F26" s="10" t="n">
        <v>1306</v>
      </c>
      <c r="G26" s="10" t="n">
        <v>850</v>
      </c>
      <c r="H26" s="11" t="n">
        <f aca="false">SUM(E26:G26)</f>
        <v>3961</v>
      </c>
      <c r="I26" s="17" t="n">
        <f aca="false">IF(B26&lt;&gt;0,E26/B26,0)</f>
        <v>0.242934051144011</v>
      </c>
      <c r="J26" s="19" t="n">
        <f aca="false">IF(C26&lt;&gt;0,F26/C26,0)</f>
        <v>1.52037252619325</v>
      </c>
    </row>
    <row r="27" customFormat="false" ht="15" hidden="false" customHeight="false" outlineLevel="0" collapsed="false">
      <c r="A27" s="5" t="s">
        <v>114</v>
      </c>
      <c r="B27" s="6" t="n">
        <v>7480</v>
      </c>
      <c r="C27" s="6" t="n">
        <v>852</v>
      </c>
      <c r="D27" s="6" t="n">
        <v>426</v>
      </c>
      <c r="E27" s="10" t="n">
        <v>1818</v>
      </c>
      <c r="F27" s="10" t="n">
        <v>1295</v>
      </c>
      <c r="G27" s="10" t="n">
        <v>852</v>
      </c>
      <c r="H27" s="11" t="n">
        <f aca="false">SUM(E27:G27)</f>
        <v>3965</v>
      </c>
      <c r="I27" s="17" t="n">
        <f aca="false">IF(B27&lt;&gt;0,E27/B27,0)</f>
        <v>0.243048128342246</v>
      </c>
      <c r="J27" s="19" t="n">
        <f aca="false">IF(C27&lt;&gt;0,F27/C27,0)</f>
        <v>1.51995305164319</v>
      </c>
    </row>
    <row r="28" customFormat="false" ht="15" hidden="false" customHeight="false" outlineLevel="0" collapsed="false">
      <c r="A28" s="5" t="s">
        <v>115</v>
      </c>
      <c r="B28" s="6" t="n">
        <v>7520</v>
      </c>
      <c r="C28" s="6" t="n">
        <v>828</v>
      </c>
      <c r="D28" s="6" t="n">
        <v>423</v>
      </c>
      <c r="E28" s="10" t="n">
        <v>1827</v>
      </c>
      <c r="F28" s="10" t="n">
        <v>1259</v>
      </c>
      <c r="G28" s="10" t="n">
        <v>846</v>
      </c>
      <c r="H28" s="11" t="n">
        <f aca="false">SUM(E28:G28)</f>
        <v>3932</v>
      </c>
      <c r="I28" s="17" t="n">
        <f aca="false">IF(B28&lt;&gt;0,E28/B28,0)</f>
        <v>0.242952127659574</v>
      </c>
      <c r="J28" s="19" t="n">
        <f aca="false">IF(C28&lt;&gt;0,F28/C28,0)</f>
        <v>1.52053140096618</v>
      </c>
    </row>
    <row r="29" customFormat="false" ht="15" hidden="false" customHeight="false" outlineLevel="0" collapsed="false">
      <c r="A29" s="5" t="s">
        <v>118</v>
      </c>
      <c r="B29" s="6" t="n">
        <v>7440</v>
      </c>
      <c r="C29" s="6" t="n">
        <v>742</v>
      </c>
      <c r="D29" s="6" t="n">
        <v>419</v>
      </c>
      <c r="E29" s="10" t="n">
        <v>1860</v>
      </c>
      <c r="F29" s="10" t="n">
        <v>1187</v>
      </c>
      <c r="G29" s="10" t="n">
        <v>838</v>
      </c>
      <c r="H29" s="11" t="n">
        <f aca="false">SUM(E29:G29)</f>
        <v>3885</v>
      </c>
      <c r="I29" s="17" t="n">
        <f aca="false">IF(B29&lt;&gt;0,E29/B29,0)</f>
        <v>0.25</v>
      </c>
      <c r="J29" s="19" t="n">
        <f aca="false">IF(C29&lt;&gt;0,F29/C29,0)</f>
        <v>1.59973045822102</v>
      </c>
    </row>
    <row r="30" customFormat="false" ht="15" hidden="false" customHeight="false" outlineLevel="0" collapsed="false">
      <c r="A30" s="5" t="s">
        <v>119</v>
      </c>
      <c r="B30" s="6" t="n">
        <v>7480</v>
      </c>
      <c r="C30" s="6" t="n">
        <v>697</v>
      </c>
      <c r="D30" s="6" t="n">
        <v>383</v>
      </c>
      <c r="E30" s="10" t="n">
        <v>1870</v>
      </c>
      <c r="F30" s="10" t="n">
        <v>1115</v>
      </c>
      <c r="G30" s="10" t="n">
        <v>766</v>
      </c>
      <c r="H30" s="11" t="n">
        <f aca="false">SUM(E30:G30)</f>
        <v>3751</v>
      </c>
      <c r="I30" s="17" t="n">
        <f aca="false">IF(B30&lt;&gt;0,E30/B30,0)</f>
        <v>0.25</v>
      </c>
      <c r="J30" s="19" t="n">
        <f aca="false">IF(C30&lt;&gt;0,F30/C30,0)</f>
        <v>1.59971305595409</v>
      </c>
    </row>
    <row r="31" customFormat="false" ht="15" hidden="false" customHeight="false" outlineLevel="0" collapsed="false">
      <c r="A31" s="5" t="s">
        <v>120</v>
      </c>
      <c r="B31" s="6" t="n">
        <v>7270</v>
      </c>
      <c r="C31" s="6" t="n">
        <v>675</v>
      </c>
      <c r="D31" s="6" t="n">
        <v>368</v>
      </c>
      <c r="E31" s="10" t="n">
        <v>1818</v>
      </c>
      <c r="F31" s="10" t="n">
        <v>1080</v>
      </c>
      <c r="G31" s="10" t="n">
        <v>736</v>
      </c>
      <c r="H31" s="11" t="n">
        <f aca="false">SUM(E31:G31)</f>
        <v>3634</v>
      </c>
      <c r="I31" s="17" t="n">
        <f aca="false">IF(B31&lt;&gt;0,E31/B31,0)</f>
        <v>0.250068775790922</v>
      </c>
      <c r="J31" s="19" t="n">
        <f aca="false">IF(C31&lt;&gt;0,F31/C31,0)</f>
        <v>1.6</v>
      </c>
    </row>
    <row r="32" customFormat="false" ht="15" hidden="false" customHeight="false" outlineLevel="0" collapsed="false">
      <c r="A32" s="5" t="s">
        <v>121</v>
      </c>
      <c r="B32" s="6" t="n">
        <v>7390</v>
      </c>
      <c r="C32" s="6" t="n">
        <v>645</v>
      </c>
      <c r="D32" s="6" t="n">
        <v>359</v>
      </c>
      <c r="E32" s="10" t="n">
        <v>1848</v>
      </c>
      <c r="F32" s="10" t="n">
        <v>1032</v>
      </c>
      <c r="G32" s="10" t="n">
        <v>718</v>
      </c>
      <c r="H32" s="11" t="n">
        <f aca="false">SUM(E32:G32)</f>
        <v>3598</v>
      </c>
      <c r="I32" s="17" t="n">
        <f aca="false">IF(B32&lt;&gt;0,E32/B32,0)</f>
        <v>0.250067658998647</v>
      </c>
      <c r="J32" s="19" t="n">
        <f aca="false">IF(C32&lt;&gt;0,F32/C32,0)</f>
        <v>1.6</v>
      </c>
    </row>
    <row r="33" customFormat="false" ht="15" hidden="false" customHeight="false" outlineLevel="0" collapsed="false">
      <c r="A33" s="5" t="s">
        <v>124</v>
      </c>
      <c r="B33" s="6" t="n">
        <v>7170</v>
      </c>
      <c r="C33" s="6" t="n">
        <v>659</v>
      </c>
      <c r="D33" s="6" t="n">
        <v>340</v>
      </c>
      <c r="E33" s="10" t="n">
        <v>1814</v>
      </c>
      <c r="F33" s="10" t="n">
        <v>1074</v>
      </c>
      <c r="G33" s="10" t="n">
        <v>680</v>
      </c>
      <c r="H33" s="11" t="n">
        <f aca="false">SUM(E33:G33)</f>
        <v>3568</v>
      </c>
      <c r="I33" s="17" t="n">
        <f aca="false">IF(B33&lt;&gt;0,E33/B33,0)</f>
        <v>0.252998605299861</v>
      </c>
      <c r="J33" s="19" t="n">
        <f aca="false">IF(C33&lt;&gt;0,F33/C33,0)</f>
        <v>1.62974203338392</v>
      </c>
    </row>
    <row r="34" customFormat="false" ht="15" hidden="false" customHeight="false" outlineLevel="0" collapsed="false">
      <c r="A34" s="5" t="s">
        <v>125</v>
      </c>
      <c r="B34" s="6" t="n">
        <v>7340</v>
      </c>
      <c r="C34" s="6" t="n">
        <v>634</v>
      </c>
      <c r="D34" s="6" t="n">
        <v>335</v>
      </c>
      <c r="E34" s="10" t="n">
        <v>1857</v>
      </c>
      <c r="F34" s="10" t="n">
        <v>1033</v>
      </c>
      <c r="G34" s="10" t="n">
        <v>670</v>
      </c>
      <c r="H34" s="11" t="n">
        <f aca="false">SUM(E34:G34)</f>
        <v>3560</v>
      </c>
      <c r="I34" s="17" t="n">
        <f aca="false">IF(B34&lt;&gt;0,E34/B34,0)</f>
        <v>0.25299727520436</v>
      </c>
      <c r="J34" s="19" t="n">
        <f aca="false">IF(C34&lt;&gt;0,F34/C34,0)</f>
        <v>1.62933753943218</v>
      </c>
    </row>
    <row r="35" customFormat="false" ht="15" hidden="false" customHeight="false" outlineLevel="0" collapsed="false">
      <c r="A35" s="5" t="s">
        <v>126</v>
      </c>
      <c r="B35" s="6" t="n">
        <v>7190</v>
      </c>
      <c r="C35" s="6" t="n">
        <v>666</v>
      </c>
      <c r="D35" s="6" t="n">
        <v>340</v>
      </c>
      <c r="E35" s="10" t="n">
        <v>1819</v>
      </c>
      <c r="F35" s="10" t="n">
        <v>1086</v>
      </c>
      <c r="G35" s="10" t="n">
        <v>680</v>
      </c>
      <c r="H35" s="11" t="n">
        <f aca="false">SUM(E35:G35)</f>
        <v>3585</v>
      </c>
      <c r="I35" s="17" t="n">
        <f aca="false">IF(B35&lt;&gt;0,E35/B35,0)</f>
        <v>0.252990264255911</v>
      </c>
      <c r="J35" s="19" t="n">
        <f aca="false">IF(C35&lt;&gt;0,F35/C35,0)</f>
        <v>1.63063063063063</v>
      </c>
    </row>
    <row r="36" customFormat="false" ht="15" hidden="false" customHeight="false" outlineLevel="0" collapsed="false">
      <c r="A36" s="5" t="s">
        <v>127</v>
      </c>
      <c r="B36" s="6" t="n">
        <v>7330</v>
      </c>
      <c r="C36" s="6" t="n">
        <v>651</v>
      </c>
      <c r="D36" s="6" t="n">
        <v>336</v>
      </c>
      <c r="E36" s="10" t="n">
        <v>1854</v>
      </c>
      <c r="F36" s="10" t="n">
        <v>1061</v>
      </c>
      <c r="G36" s="10" t="n">
        <v>672</v>
      </c>
      <c r="H36" s="11" t="n">
        <f aca="false">SUM(E36:G36)</f>
        <v>3587</v>
      </c>
      <c r="I36" s="17" t="n">
        <f aca="false">IF(B36&lt;&gt;0,E36/B36,0)</f>
        <v>0.252933151432469</v>
      </c>
      <c r="J36" s="19" t="n">
        <f aca="false">IF(C36&lt;&gt;0,F36/C36,0)</f>
        <v>1.62980030721966</v>
      </c>
    </row>
    <row r="37" customFormat="false" ht="15" hidden="false" customHeight="false" outlineLevel="0" collapsed="false">
      <c r="A37" s="5" t="s">
        <v>130</v>
      </c>
      <c r="B37" s="6" t="n">
        <v>7330</v>
      </c>
      <c r="C37" s="6" t="n">
        <v>704</v>
      </c>
      <c r="D37" s="6" t="n">
        <v>360</v>
      </c>
      <c r="E37" s="10" t="n">
        <v>1876</v>
      </c>
      <c r="F37" s="10" t="n">
        <v>1169</v>
      </c>
      <c r="G37" s="10" t="n">
        <v>720</v>
      </c>
      <c r="H37" s="11" t="n">
        <f aca="false">SUM(E37:G37)</f>
        <v>3765</v>
      </c>
      <c r="I37" s="17" t="n">
        <f aca="false">IF(B37&lt;&gt;0,E37/B37,0)</f>
        <v>0.25593451568895</v>
      </c>
      <c r="J37" s="19" t="n">
        <f aca="false">IF(C37&lt;&gt;0,F37/C37,0)</f>
        <v>1.66051136363636</v>
      </c>
    </row>
    <row r="38" customFormat="false" ht="15" hidden="false" customHeight="false" outlineLevel="0" collapsed="false">
      <c r="A38" s="5" t="s">
        <v>131</v>
      </c>
      <c r="B38" s="6" t="n">
        <v>7350</v>
      </c>
      <c r="C38" s="6" t="n">
        <v>713</v>
      </c>
      <c r="D38" s="6" t="n">
        <v>365</v>
      </c>
      <c r="E38" s="10" t="n">
        <v>1882</v>
      </c>
      <c r="F38" s="10" t="n">
        <v>1184</v>
      </c>
      <c r="G38" s="10" t="n">
        <v>730</v>
      </c>
      <c r="H38" s="11" t="n">
        <f aca="false">SUM(E38:G38)</f>
        <v>3796</v>
      </c>
      <c r="I38" s="17" t="n">
        <f aca="false">IF(B38&lt;&gt;0,E38/B38,0)</f>
        <v>0.256054421768707</v>
      </c>
      <c r="J38" s="19" t="n">
        <f aca="false">IF(C38&lt;&gt;0,F38/C38,0)</f>
        <v>1.66058906030856</v>
      </c>
    </row>
    <row r="39" customFormat="false" ht="15" hidden="false" customHeight="false" outlineLevel="0" collapsed="false">
      <c r="A39" s="5" t="s">
        <v>132</v>
      </c>
      <c r="B39" s="6" t="n">
        <v>7300</v>
      </c>
      <c r="C39" s="6" t="n">
        <v>708</v>
      </c>
      <c r="D39" s="6" t="n">
        <v>362</v>
      </c>
      <c r="E39" s="10" t="n">
        <v>1869</v>
      </c>
      <c r="F39" s="10" t="n">
        <v>1175</v>
      </c>
      <c r="G39" s="10" t="n">
        <v>724</v>
      </c>
      <c r="H39" s="11" t="n">
        <f aca="false">SUM(E39:G39)</f>
        <v>3768</v>
      </c>
      <c r="I39" s="17" t="n">
        <f aca="false">IF(B39&lt;&gt;0,E39/B39,0)</f>
        <v>0.256027397260274</v>
      </c>
      <c r="J39" s="19" t="n">
        <f aca="false">IF(C39&lt;&gt;0,F39/C39,0)</f>
        <v>1.65960451977401</v>
      </c>
    </row>
    <row r="40" customFormat="false" ht="15" hidden="false" customHeight="false" outlineLevel="0" collapsed="false">
      <c r="A40" s="5" t="s">
        <v>133</v>
      </c>
      <c r="B40" s="6" t="n">
        <v>7460</v>
      </c>
      <c r="C40" s="6" t="n">
        <v>706</v>
      </c>
      <c r="D40" s="6" t="n">
        <v>364</v>
      </c>
      <c r="E40" s="10" t="n">
        <v>1910</v>
      </c>
      <c r="F40" s="10" t="n">
        <v>1172</v>
      </c>
      <c r="G40" s="10" t="n">
        <v>728</v>
      </c>
      <c r="H40" s="11" t="n">
        <f aca="false">SUM(E40:G40)</f>
        <v>3810</v>
      </c>
      <c r="I40" s="17" t="n">
        <f aca="false">IF(B40&lt;&gt;0,E40/B40,0)</f>
        <v>0.256032171581769</v>
      </c>
      <c r="J40" s="19" t="n">
        <f aca="false">IF(C40&lt;&gt;0,F40/C40,0)</f>
        <v>1.6600566572238</v>
      </c>
    </row>
    <row r="41" customFormat="false" ht="15" hidden="false" customHeight="false" outlineLevel="0" collapsed="false">
      <c r="A41" s="5" t="s">
        <v>136</v>
      </c>
      <c r="B41" s="6" t="n">
        <v>7570</v>
      </c>
      <c r="C41" s="6" t="n">
        <v>816</v>
      </c>
      <c r="D41" s="6" t="n">
        <v>356</v>
      </c>
      <c r="E41" s="10" t="n">
        <v>1961</v>
      </c>
      <c r="F41" s="10" t="n">
        <v>1379</v>
      </c>
      <c r="G41" s="10" t="n">
        <v>712</v>
      </c>
      <c r="H41" s="11" t="n">
        <f aca="false">SUM(E41:G41)</f>
        <v>4052</v>
      </c>
      <c r="I41" s="17" t="n">
        <f aca="false">IF(B41&lt;&gt;0,E41/B41,0)</f>
        <v>0.259048877146631</v>
      </c>
      <c r="J41" s="19" t="n">
        <f aca="false">IF(C41&lt;&gt;0,F41/C41,0)</f>
        <v>1.68995098039216</v>
      </c>
    </row>
    <row r="42" customFormat="false" ht="15" hidden="false" customHeight="false" outlineLevel="0" collapsed="false">
      <c r="A42" s="5" t="s">
        <v>137</v>
      </c>
      <c r="B42" s="6" t="n">
        <v>7560</v>
      </c>
      <c r="C42" s="6" t="n">
        <v>818</v>
      </c>
      <c r="D42" s="6" t="n">
        <v>363</v>
      </c>
      <c r="E42" s="10" t="n">
        <v>1958</v>
      </c>
      <c r="F42" s="10" t="n">
        <v>1382</v>
      </c>
      <c r="G42" s="10" t="n">
        <v>726</v>
      </c>
      <c r="H42" s="11" t="n">
        <f aca="false">SUM(E42:G42)</f>
        <v>4066</v>
      </c>
      <c r="I42" s="17" t="n">
        <f aca="false">IF(B42&lt;&gt;0,E42/B42,0)</f>
        <v>0.258994708994709</v>
      </c>
      <c r="J42" s="19" t="n">
        <f aca="false">IF(C42&lt;&gt;0,F42/C42,0)</f>
        <v>1.68948655256724</v>
      </c>
    </row>
    <row r="43" customFormat="false" ht="15" hidden="false" customHeight="false" outlineLevel="0" collapsed="false">
      <c r="A43" s="5" t="s">
        <v>138</v>
      </c>
      <c r="B43" s="6" t="n">
        <v>7750</v>
      </c>
      <c r="C43" s="6" t="n">
        <v>832</v>
      </c>
      <c r="D43" s="6" t="n">
        <v>358</v>
      </c>
      <c r="E43" s="10" t="n">
        <v>2007</v>
      </c>
      <c r="F43" s="10" t="n">
        <v>1406</v>
      </c>
      <c r="G43" s="10" t="n">
        <v>716</v>
      </c>
      <c r="H43" s="11" t="n">
        <f aca="false">SUM(E43:G43)</f>
        <v>4129</v>
      </c>
      <c r="I43" s="17" t="n">
        <f aca="false">IF(B43&lt;&gt;0,E43/B43,0)</f>
        <v>0.258967741935484</v>
      </c>
      <c r="J43" s="19" t="n">
        <f aca="false">IF(C43&lt;&gt;0,F43/C43,0)</f>
        <v>1.68990384615385</v>
      </c>
    </row>
    <row r="44" customFormat="false" ht="15" hidden="false" customHeight="false" outlineLevel="0" collapsed="false">
      <c r="A44" s="5" t="s">
        <v>139</v>
      </c>
      <c r="B44" s="6" t="n">
        <v>7710</v>
      </c>
      <c r="C44" s="6" t="n">
        <v>793</v>
      </c>
      <c r="D44" s="6" t="n">
        <v>358</v>
      </c>
      <c r="E44" s="10" t="n">
        <v>1997</v>
      </c>
      <c r="F44" s="10" t="n">
        <v>1340</v>
      </c>
      <c r="G44" s="10" t="n">
        <v>716</v>
      </c>
      <c r="H44" s="11" t="n">
        <f aca="false">SUM(E44:G44)</f>
        <v>4053</v>
      </c>
      <c r="I44" s="17" t="n">
        <f aca="false">IF(B44&lt;&gt;0,E44/B44,0)</f>
        <v>0.259014267185473</v>
      </c>
      <c r="J44" s="19" t="n">
        <f aca="false">IF(C44&lt;&gt;0,F44/C44,0)</f>
        <v>1.68978562421185</v>
      </c>
    </row>
    <row r="45" customFormat="false" ht="15" hidden="false" customHeight="false" outlineLevel="0" collapsed="false">
      <c r="A45" s="5" t="s">
        <v>142</v>
      </c>
      <c r="B45" s="6" t="n">
        <v>7720</v>
      </c>
      <c r="C45" s="6" t="n">
        <v>907</v>
      </c>
      <c r="D45" s="6" t="n">
        <v>347</v>
      </c>
      <c r="E45" s="10" t="n">
        <v>2023</v>
      </c>
      <c r="F45" s="10" t="n">
        <v>1551</v>
      </c>
      <c r="G45" s="10" t="n">
        <v>694</v>
      </c>
      <c r="H45" s="11" t="n">
        <f aca="false">SUM(E45:G45)</f>
        <v>4268</v>
      </c>
      <c r="I45" s="17" t="n">
        <f aca="false">IF(B45&lt;&gt;0,E45/B45,0)</f>
        <v>0.262046632124352</v>
      </c>
      <c r="J45" s="19" t="n">
        <f aca="false">IF(C45&lt;&gt;0,F45/C45,0)</f>
        <v>1.71003307607497</v>
      </c>
    </row>
    <row r="46" customFormat="false" ht="15" hidden="false" customHeight="false" outlineLevel="0" collapsed="false">
      <c r="A46" s="5" t="s">
        <v>143</v>
      </c>
      <c r="B46" s="6" t="n">
        <v>7740</v>
      </c>
      <c r="C46" s="6" t="n">
        <v>930</v>
      </c>
      <c r="D46" s="6" t="n">
        <v>348</v>
      </c>
      <c r="E46" s="10" t="n">
        <v>2028</v>
      </c>
      <c r="F46" s="10" t="n">
        <v>1590</v>
      </c>
      <c r="G46" s="10" t="n">
        <v>696</v>
      </c>
      <c r="H46" s="11" t="n">
        <f aca="false">SUM(E46:G46)</f>
        <v>4314</v>
      </c>
      <c r="I46" s="17" t="n">
        <f aca="false">IF(B46&lt;&gt;0,E46/B46,0)</f>
        <v>0.262015503875969</v>
      </c>
      <c r="J46" s="19" t="n">
        <f aca="false">IF(C46&lt;&gt;0,F46/C46,0)</f>
        <v>1.70967741935484</v>
      </c>
    </row>
    <row r="47" customFormat="false" ht="15" hidden="false" customHeight="false" outlineLevel="0" collapsed="false">
      <c r="A47" s="5" t="s">
        <v>144</v>
      </c>
      <c r="B47" s="6" t="n">
        <v>7940</v>
      </c>
      <c r="C47" s="6" t="n">
        <v>901</v>
      </c>
      <c r="D47" s="6" t="n">
        <v>349</v>
      </c>
      <c r="E47" s="10" t="n">
        <v>2080</v>
      </c>
      <c r="F47" s="10" t="n">
        <v>1541</v>
      </c>
      <c r="G47" s="10" t="n">
        <v>698</v>
      </c>
      <c r="H47" s="11" t="n">
        <f aca="false">SUM(E47:G47)</f>
        <v>4319</v>
      </c>
      <c r="I47" s="17" t="n">
        <f aca="false">IF(B47&lt;&gt;0,E47/B47,0)</f>
        <v>0.261964735516373</v>
      </c>
      <c r="J47" s="19" t="n">
        <f aca="false">IF(C47&lt;&gt;0,F47/C47,0)</f>
        <v>1.71032186459489</v>
      </c>
    </row>
    <row r="48" customFormat="false" ht="15" hidden="false" customHeight="false" outlineLevel="0" collapsed="false">
      <c r="A48" s="5" t="s">
        <v>145</v>
      </c>
      <c r="B48" s="6" t="n">
        <v>7840</v>
      </c>
      <c r="C48" s="6" t="n">
        <v>896</v>
      </c>
      <c r="D48" s="6" t="n">
        <v>342</v>
      </c>
      <c r="E48" s="10" t="n">
        <v>2054</v>
      </c>
      <c r="F48" s="10" t="n">
        <v>1532</v>
      </c>
      <c r="G48" s="10" t="n">
        <v>684</v>
      </c>
      <c r="H48" s="11" t="n">
        <f aca="false">SUM(E48:G48)</f>
        <v>4270</v>
      </c>
      <c r="I48" s="17" t="n">
        <f aca="false">IF(B48&lt;&gt;0,E48/B48,0)</f>
        <v>0.261989795918367</v>
      </c>
      <c r="J48" s="19" t="n">
        <f aca="false">IF(C48&lt;&gt;0,F48/C48,0)</f>
        <v>1.70982142857143</v>
      </c>
    </row>
    <row r="49" customFormat="false" ht="15" hidden="false" customHeight="false" outlineLevel="0" collapsed="false">
      <c r="A49" s="5" t="s">
        <v>148</v>
      </c>
      <c r="B49" s="6" t="n">
        <v>8050</v>
      </c>
      <c r="C49" s="6" t="n">
        <v>969</v>
      </c>
      <c r="D49" s="6" t="n">
        <v>322</v>
      </c>
      <c r="E49" s="10" t="n">
        <v>2133</v>
      </c>
      <c r="F49" s="10" t="n">
        <v>1686</v>
      </c>
      <c r="G49" s="10" t="n">
        <v>644</v>
      </c>
      <c r="H49" s="11" t="n">
        <f aca="false">SUM(E49:G49)</f>
        <v>4463</v>
      </c>
      <c r="I49" s="17" t="n">
        <f aca="false">IF(B49&lt;&gt;0,E49/B49,0)</f>
        <v>0.264968944099379</v>
      </c>
      <c r="J49" s="19" t="n">
        <f aca="false">IF(C49&lt;&gt;0,F49/C49,0)</f>
        <v>1.73993808049536</v>
      </c>
    </row>
    <row r="50" customFormat="false" ht="15" hidden="false" customHeight="false" outlineLevel="0" collapsed="false">
      <c r="A50" s="5" t="s">
        <v>149</v>
      </c>
      <c r="B50" s="6" t="n">
        <v>7770</v>
      </c>
      <c r="C50" s="6" t="n">
        <v>998</v>
      </c>
      <c r="D50" s="6" t="n">
        <v>323</v>
      </c>
      <c r="E50" s="10" t="n">
        <v>2059</v>
      </c>
      <c r="F50" s="10" t="n">
        <v>1737</v>
      </c>
      <c r="G50" s="10" t="n">
        <v>646</v>
      </c>
      <c r="H50" s="11" t="n">
        <f aca="false">SUM(E50:G50)</f>
        <v>4442</v>
      </c>
      <c r="I50" s="17" t="n">
        <f aca="false">IF(B50&lt;&gt;0,E50/B50,0)</f>
        <v>0.264993564993565</v>
      </c>
      <c r="J50" s="19" t="n">
        <f aca="false">IF(C50&lt;&gt;0,F50/C50,0)</f>
        <v>1.74048096192385</v>
      </c>
    </row>
    <row r="51" customFormat="false" ht="15" hidden="false" customHeight="false" outlineLevel="0" collapsed="false">
      <c r="A51" s="5" t="s">
        <v>150</v>
      </c>
      <c r="B51" s="6" t="n">
        <v>8000</v>
      </c>
      <c r="C51" s="6" t="n">
        <v>987</v>
      </c>
      <c r="D51" s="6" t="n">
        <v>320</v>
      </c>
      <c r="E51" s="10" t="n">
        <v>2120</v>
      </c>
      <c r="F51" s="10" t="n">
        <v>1717</v>
      </c>
      <c r="G51" s="10" t="n">
        <v>640</v>
      </c>
      <c r="H51" s="11" t="n">
        <f aca="false">SUM(E51:G51)</f>
        <v>4477</v>
      </c>
      <c r="I51" s="17" t="n">
        <f aca="false">IF(B51&lt;&gt;0,E51/B51,0)</f>
        <v>0.265</v>
      </c>
      <c r="J51" s="19" t="n">
        <f aca="false">IF(C51&lt;&gt;0,F51/C51,0)</f>
        <v>1.73961499493414</v>
      </c>
    </row>
    <row r="52" customFormat="false" ht="15" hidden="false" customHeight="false" outlineLevel="0" collapsed="false">
      <c r="A52" s="5" t="s">
        <v>151</v>
      </c>
      <c r="B52" s="6" t="n">
        <v>7850</v>
      </c>
      <c r="C52" s="6" t="n">
        <v>964</v>
      </c>
      <c r="D52" s="6" t="n">
        <v>322</v>
      </c>
      <c r="E52" s="10" t="n">
        <v>2080</v>
      </c>
      <c r="F52" s="10" t="n">
        <v>1677</v>
      </c>
      <c r="G52" s="10" t="n">
        <v>644</v>
      </c>
      <c r="H52" s="11" t="n">
        <f aca="false">SUM(E52:G52)</f>
        <v>4401</v>
      </c>
      <c r="I52" s="17" t="n">
        <f aca="false">IF(B52&lt;&gt;0,E52/B52,0)</f>
        <v>0.264968152866242</v>
      </c>
      <c r="J52" s="19" t="n">
        <f aca="false">IF(C52&lt;&gt;0,F52/C52,0)</f>
        <v>1.7396265560166</v>
      </c>
    </row>
    <row r="53" customFormat="false" ht="15" hidden="false" customHeight="false" outlineLevel="0" collapsed="false">
      <c r="A53" s="12" t="s">
        <v>237</v>
      </c>
      <c r="B53" s="7" t="n">
        <f aca="false">SUM(B5:B52)</f>
        <v>368410</v>
      </c>
      <c r="C53" s="7" t="n">
        <f aca="false">SUM(C5:C52)</f>
        <v>44203</v>
      </c>
      <c r="D53" s="7" t="n">
        <f aca="false">SUM(D5:D52)</f>
        <v>18562</v>
      </c>
      <c r="E53" s="11" t="n">
        <f aca="false">SUM(E5:E52)</f>
        <v>83355</v>
      </c>
      <c r="F53" s="11" t="n">
        <f aca="false">SUM(F5:F52)</f>
        <v>59373</v>
      </c>
      <c r="G53" s="11" t="n">
        <f aca="false">SUM(G5:G52)</f>
        <v>37124</v>
      </c>
      <c r="H53" s="11" t="n">
        <f aca="false">SUM(H5:H52)</f>
        <v>179852</v>
      </c>
      <c r="I53" s="18" t="n">
        <f aca="false">IF(B53&lt;&gt;0,E53/B53,0)</f>
        <v>0.226256073396488</v>
      </c>
      <c r="J53" s="20" t="n">
        <f aca="false">IF(C53&lt;&gt;0,F53/C53,0)</f>
        <v>1.34318937628668</v>
      </c>
    </row>
    <row r="55" customFormat="false" ht="21.75" hidden="false" customHeight="true" outlineLevel="0" collapsed="false">
      <c r="A55" s="12" t="s">
        <v>238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customFormat="false" ht="21.75" hidden="false" customHeight="true" outlineLevel="0" collapsed="false">
      <c r="A56" s="4" t="s">
        <v>239</v>
      </c>
      <c r="B56" s="4" t="s">
        <v>240</v>
      </c>
      <c r="C56" s="4" t="s">
        <v>241</v>
      </c>
      <c r="D56" s="4" t="s">
        <v>242</v>
      </c>
      <c r="E56" s="4" t="s">
        <v>6</v>
      </c>
      <c r="F56" s="4" t="s">
        <v>243</v>
      </c>
      <c r="G56" s="4" t="s">
        <v>8</v>
      </c>
      <c r="H56" s="4" t="s">
        <v>9</v>
      </c>
      <c r="I56" s="4" t="s">
        <v>244</v>
      </c>
      <c r="J56" s="4" t="s">
        <v>11</v>
      </c>
      <c r="K56" s="4" t="s">
        <v>245</v>
      </c>
      <c r="L56" s="4" t="s">
        <v>246</v>
      </c>
      <c r="M56" s="4" t="s">
        <v>247</v>
      </c>
      <c r="N56" s="4" t="s">
        <v>248</v>
      </c>
    </row>
    <row r="57" customFormat="false" ht="15" hidden="false" customHeight="false" outlineLevel="0" collapsed="false">
      <c r="A57" s="5" t="s">
        <v>249</v>
      </c>
      <c r="B57" s="23" t="s">
        <v>250</v>
      </c>
      <c r="C57" s="25" t="n">
        <v>-0.026</v>
      </c>
      <c r="D57" s="25" t="n">
        <v>-0.021</v>
      </c>
      <c r="E57" s="25" t="n">
        <v>-0.027</v>
      </c>
      <c r="F57" s="25" t="n">
        <v>-0.024</v>
      </c>
      <c r="G57" s="25" t="n">
        <v>-0.032</v>
      </c>
      <c r="H57" s="25" t="n">
        <v>-0.027</v>
      </c>
      <c r="I57" s="25" t="n">
        <v>-0.037</v>
      </c>
      <c r="J57" s="25" t="n">
        <v>-0.048</v>
      </c>
      <c r="K57" s="25" t="n">
        <v>-0.054</v>
      </c>
      <c r="L57" s="25" t="n">
        <v>-0.042</v>
      </c>
      <c r="M57" s="25" t="n">
        <v>-0.045</v>
      </c>
      <c r="N57" s="25" t="n">
        <v>-0.044</v>
      </c>
    </row>
    <row r="58" customFormat="false" ht="15" hidden="false" customHeight="false" outlineLevel="0" collapsed="false">
      <c r="A58" s="5" t="s">
        <v>251</v>
      </c>
      <c r="B58" s="23" t="s">
        <v>252</v>
      </c>
      <c r="C58" s="25" t="n">
        <v>-0.042</v>
      </c>
      <c r="D58" s="25" t="n">
        <v>-0.018</v>
      </c>
      <c r="E58" s="25" t="n">
        <v>-0.035</v>
      </c>
      <c r="F58" s="25" t="n">
        <v>-0.028</v>
      </c>
      <c r="G58" s="25" t="n">
        <v>-0.021</v>
      </c>
      <c r="H58" s="25" t="n">
        <v>-0.017</v>
      </c>
      <c r="I58" s="25" t="n">
        <v>-0.151</v>
      </c>
      <c r="J58" s="25" t="n">
        <v>-0.186</v>
      </c>
      <c r="K58" s="25" t="n">
        <v>-0.199</v>
      </c>
      <c r="L58" s="25" t="n">
        <v>-0.205</v>
      </c>
      <c r="M58" s="25" t="n">
        <v>-0.228</v>
      </c>
      <c r="N58" s="25" t="n">
        <v>-0.234</v>
      </c>
    </row>
    <row r="59" customFormat="false" ht="15" hidden="false" customHeight="false" outlineLevel="0" collapsed="false">
      <c r="A59" s="5" t="s">
        <v>253</v>
      </c>
      <c r="B59" s="23" t="s">
        <v>254</v>
      </c>
      <c r="C59" s="25" t="n">
        <v>0</v>
      </c>
      <c r="D59" s="25" t="n">
        <v>0.03</v>
      </c>
      <c r="E59" s="25" t="n">
        <v>0.019</v>
      </c>
      <c r="F59" s="25" t="n">
        <v>0.001</v>
      </c>
      <c r="G59" s="25" t="n">
        <v>0.016</v>
      </c>
      <c r="H59" s="25" t="n">
        <v>0.004</v>
      </c>
      <c r="I59" s="25" t="n">
        <v>-0.054</v>
      </c>
      <c r="J59" s="25" t="n">
        <v>-0.114</v>
      </c>
      <c r="K59" s="25" t="n">
        <v>-0.112</v>
      </c>
      <c r="L59" s="25" t="n">
        <v>-0.146</v>
      </c>
      <c r="M59" s="25" t="n">
        <v>-0.151</v>
      </c>
      <c r="N59" s="25" t="n">
        <v>-0.189</v>
      </c>
    </row>
    <row r="60" customFormat="false" ht="15" hidden="false" customHeight="false" outlineLevel="0" collapsed="false">
      <c r="A60" s="5" t="s">
        <v>255</v>
      </c>
      <c r="B60" s="23" t="s">
        <v>256</v>
      </c>
      <c r="C60" s="19" t="n">
        <f aca="false">SUM(H5:H8)/Fréquentation!G9</f>
        <v>1.64867896311067</v>
      </c>
      <c r="D60" s="19" t="n">
        <f aca="false">SUM(H9:H12)/Fréquentation!G17</f>
        <v>1.62636562272396</v>
      </c>
      <c r="E60" s="19" t="n">
        <f aca="false">SUM(H13:H16)/Fréquentation!G25</f>
        <v>1.61568723875092</v>
      </c>
      <c r="F60" s="19" t="n">
        <f aca="false">SUM(H17:H20)/Fréquentation!G33</f>
        <v>1.72491949467426</v>
      </c>
      <c r="G60" s="19" t="n">
        <f aca="false">SUM(H21:H24)/Fréquentation!G41</f>
        <v>1.90867875647668</v>
      </c>
      <c r="H60" s="19" t="n">
        <f aca="false">SUM(H25:H28)/Fréquentation!G49</f>
        <v>1.94816361626336</v>
      </c>
      <c r="I60" s="19" t="n">
        <f aca="false">SUM(H29:H32)/Fréquentation!G57</f>
        <v>2.17209642074507</v>
      </c>
      <c r="J60" s="19" t="n">
        <f aca="false">SUM(H33:H36)/Fréquentation!G65</f>
        <v>2.61713030746706</v>
      </c>
      <c r="K60" s="19" t="n">
        <f aca="false">SUM(H37:H40)/Fréquentation!G73</f>
        <v>2.42728876062209</v>
      </c>
      <c r="L60" s="19" t="n">
        <f aca="false">SUM(H41:H44)/Fréquentation!G81</f>
        <v>2.66426936907486</v>
      </c>
      <c r="M60" s="19" t="n">
        <f aca="false">SUM(H45:H48)/Fréquentation!G89</f>
        <v>2.99198466631817</v>
      </c>
      <c r="N60" s="19" t="n">
        <f aca="false">SUM(H49:H52)/Fréquentation!G97</f>
        <v>3.56372745490982</v>
      </c>
    </row>
    <row r="61" customFormat="false" ht="15" hidden="false" customHeight="false" outlineLevel="0" collapsed="false">
      <c r="A61" s="5" t="s">
        <v>257</v>
      </c>
      <c r="B61" s="23" t="s">
        <v>258</v>
      </c>
      <c r="C61" s="26" t="n">
        <v>0.08</v>
      </c>
      <c r="D61" s="26" t="n">
        <v>0.08</v>
      </c>
      <c r="E61" s="26" t="n">
        <v>0.1</v>
      </c>
      <c r="F61" s="26" t="n">
        <v>0.12</v>
      </c>
      <c r="G61" s="26" t="n">
        <v>0.15</v>
      </c>
      <c r="H61" s="26" t="n">
        <v>0.18</v>
      </c>
      <c r="I61" s="26" t="n">
        <v>0.19</v>
      </c>
      <c r="J61" s="26" t="n">
        <v>0.2</v>
      </c>
      <c r="K61" s="26" t="n">
        <v>0.17</v>
      </c>
      <c r="L61" s="26" t="n">
        <v>0.13</v>
      </c>
      <c r="M61" s="26" t="n">
        <v>0.1</v>
      </c>
      <c r="N61" s="26" t="n">
        <v>0.09</v>
      </c>
    </row>
  </sheetData>
  <mergeCells count="3">
    <mergeCell ref="A1:J1"/>
    <mergeCell ref="A3:J3"/>
    <mergeCell ref="A55:N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14" min="3" style="0" width="12"/>
    <col collapsed="false" customWidth="true" hidden="false" outlineLevel="0" max="15" min="15" style="0" width="14"/>
  </cols>
  <sheetData>
    <row r="1" customFormat="false" ht="34.5" hidden="false" customHeight="true" outlineLevel="0" collapsed="false">
      <c r="A1" s="21" t="s">
        <v>259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3" customFormat="false" ht="21.75" hidden="false" customHeight="true" outlineLevel="0" collapsed="false">
      <c r="A3" s="3" t="s">
        <v>260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1.75" hidden="false" customHeight="true" outlineLevel="0" collapsed="false">
      <c r="A4" s="4" t="s">
        <v>261</v>
      </c>
      <c r="B4" s="4" t="s">
        <v>262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customFormat="false" ht="15" hidden="false" customHeight="false" outlineLevel="0" collapsed="false">
      <c r="A5" s="5" t="s">
        <v>263</v>
      </c>
      <c r="B5" s="10" t="n">
        <v>41000</v>
      </c>
      <c r="C5" s="10" t="n">
        <v>31610</v>
      </c>
      <c r="D5" s="10" t="n">
        <v>32300</v>
      </c>
      <c r="E5" s="10" t="n">
        <v>31730</v>
      </c>
      <c r="F5" s="10" t="n">
        <v>31490</v>
      </c>
      <c r="G5" s="10" t="n">
        <v>29810</v>
      </c>
      <c r="H5" s="10" t="n">
        <v>31880</v>
      </c>
      <c r="I5" s="10" t="n">
        <v>27670</v>
      </c>
      <c r="J5" s="10" t="n">
        <v>22280</v>
      </c>
      <c r="K5" s="10" t="n">
        <v>24050</v>
      </c>
      <c r="L5" s="10" t="n">
        <v>23760</v>
      </c>
      <c r="M5" s="10" t="n">
        <v>22010</v>
      </c>
      <c r="N5" s="10" t="n">
        <v>19420</v>
      </c>
      <c r="O5" s="11" t="n">
        <f aca="false">SUM(C5:N5)</f>
        <v>328010</v>
      </c>
    </row>
    <row r="6" customFormat="false" ht="15" hidden="false" customHeight="false" outlineLevel="0" collapsed="false">
      <c r="A6" s="5" t="s">
        <v>264</v>
      </c>
      <c r="B6" s="10" t="n">
        <v>27500</v>
      </c>
      <c r="C6" s="10" t="n">
        <v>26852</v>
      </c>
      <c r="D6" s="10" t="n">
        <v>27048</v>
      </c>
      <c r="E6" s="10" t="n">
        <v>27391</v>
      </c>
      <c r="F6" s="10" t="n">
        <v>27587</v>
      </c>
      <c r="G6" s="10" t="n">
        <v>27734</v>
      </c>
      <c r="H6" s="10" t="n">
        <v>27930</v>
      </c>
      <c r="I6" s="10" t="n">
        <v>27489</v>
      </c>
      <c r="J6" s="10" t="n">
        <v>26460</v>
      </c>
      <c r="K6" s="10" t="n">
        <v>25088</v>
      </c>
      <c r="L6" s="10" t="n">
        <v>23961</v>
      </c>
      <c r="M6" s="10" t="n">
        <v>22589</v>
      </c>
      <c r="N6" s="10" t="n">
        <v>21413</v>
      </c>
      <c r="O6" s="11" t="n">
        <f aca="false">SUM(C6:N6)</f>
        <v>311542</v>
      </c>
    </row>
    <row r="7" customFormat="false" ht="15" hidden="false" customHeight="false" outlineLevel="0" collapsed="false">
      <c r="A7" s="5" t="s">
        <v>265</v>
      </c>
      <c r="B7" s="10" t="n">
        <v>10500</v>
      </c>
      <c r="C7" s="10" t="n">
        <v>10450</v>
      </c>
      <c r="D7" s="10" t="n">
        <v>10610</v>
      </c>
      <c r="E7" s="10" t="n">
        <v>10740</v>
      </c>
      <c r="F7" s="10" t="n">
        <v>10160</v>
      </c>
      <c r="G7" s="10" t="n">
        <v>10330</v>
      </c>
      <c r="H7" s="10" t="n">
        <v>9450</v>
      </c>
      <c r="I7" s="10" t="n">
        <v>4360</v>
      </c>
      <c r="J7" s="10" t="n">
        <v>2670</v>
      </c>
      <c r="K7" s="10" t="n">
        <v>6360</v>
      </c>
      <c r="L7" s="10" t="n">
        <v>6440</v>
      </c>
      <c r="M7" s="10" t="n">
        <v>5580</v>
      </c>
      <c r="N7" s="10" t="n">
        <v>4340</v>
      </c>
      <c r="O7" s="11" t="n">
        <f aca="false">SUM(C7:N7)</f>
        <v>91490</v>
      </c>
    </row>
    <row r="8" customFormat="false" ht="15" hidden="false" customHeight="false" outlineLevel="0" collapsed="false">
      <c r="A8" s="5" t="s">
        <v>266</v>
      </c>
      <c r="B8" s="10" t="n">
        <v>1800</v>
      </c>
      <c r="C8" s="10" t="n">
        <v>1770</v>
      </c>
      <c r="D8" s="10" t="n">
        <v>1810</v>
      </c>
      <c r="E8" s="10" t="n">
        <v>1790</v>
      </c>
      <c r="F8" s="10" t="n">
        <v>1780</v>
      </c>
      <c r="G8" s="10" t="n">
        <v>1700</v>
      </c>
      <c r="H8" s="10" t="n">
        <v>1790</v>
      </c>
      <c r="I8" s="10" t="n">
        <v>1510</v>
      </c>
      <c r="J8" s="10" t="n">
        <v>1200</v>
      </c>
      <c r="K8" s="10" t="n">
        <v>1370</v>
      </c>
      <c r="L8" s="10" t="n">
        <v>1350</v>
      </c>
      <c r="M8" s="10" t="n">
        <v>1260</v>
      </c>
      <c r="N8" s="10" t="n">
        <v>1100</v>
      </c>
      <c r="O8" s="11" t="n">
        <f aca="false">SUM(C8:N8)</f>
        <v>18430</v>
      </c>
    </row>
    <row r="9" customFormat="false" ht="15" hidden="false" customHeight="false" outlineLevel="0" collapsed="false">
      <c r="A9" s="5" t="s">
        <v>267</v>
      </c>
      <c r="B9" s="10" t="n">
        <v>3000</v>
      </c>
      <c r="C9" s="10" t="n">
        <v>3050</v>
      </c>
      <c r="D9" s="10" t="n">
        <v>3130</v>
      </c>
      <c r="E9" s="10" t="n">
        <v>3090</v>
      </c>
      <c r="F9" s="10" t="n">
        <v>3070</v>
      </c>
      <c r="G9" s="10" t="n">
        <v>2930</v>
      </c>
      <c r="H9" s="10" t="n">
        <v>3090</v>
      </c>
      <c r="I9" s="10" t="n">
        <v>2600</v>
      </c>
      <c r="J9" s="10" t="n">
        <v>2080</v>
      </c>
      <c r="K9" s="10" t="n">
        <v>2370</v>
      </c>
      <c r="L9" s="10" t="n">
        <v>2320</v>
      </c>
      <c r="M9" s="10" t="n">
        <v>2180</v>
      </c>
      <c r="N9" s="10" t="n">
        <v>1900</v>
      </c>
      <c r="O9" s="11" t="n">
        <f aca="false">SUM(C9:N9)</f>
        <v>31810</v>
      </c>
    </row>
    <row r="10" customFormat="false" ht="15" hidden="false" customHeight="false" outlineLevel="0" collapsed="false">
      <c r="A10" s="5" t="s">
        <v>268</v>
      </c>
      <c r="B10" s="10" t="n">
        <v>1100</v>
      </c>
      <c r="C10" s="10" t="n">
        <v>1000</v>
      </c>
      <c r="D10" s="10" t="n">
        <v>1100</v>
      </c>
      <c r="E10" s="10" t="n">
        <v>1300</v>
      </c>
      <c r="F10" s="10" t="n">
        <v>1140</v>
      </c>
      <c r="G10" s="10" t="n">
        <v>1340</v>
      </c>
      <c r="H10" s="10" t="n">
        <v>1340</v>
      </c>
      <c r="I10" s="10" t="n">
        <v>1110</v>
      </c>
      <c r="J10" s="10" t="n">
        <v>1000</v>
      </c>
      <c r="K10" s="10" t="n">
        <v>1270</v>
      </c>
      <c r="L10" s="10" t="n">
        <v>1340</v>
      </c>
      <c r="M10" s="10" t="n">
        <v>970</v>
      </c>
      <c r="N10" s="10" t="n">
        <v>1020</v>
      </c>
      <c r="O10" s="11" t="n">
        <f aca="false">SUM(C10:N10)</f>
        <v>13930</v>
      </c>
    </row>
    <row r="11" customFormat="false" ht="15" hidden="false" customHeight="false" outlineLevel="0" collapsed="false">
      <c r="A11" s="12" t="s">
        <v>37</v>
      </c>
      <c r="B11" s="11" t="n">
        <f aca="false">SUM(B5:B10)</f>
        <v>84900</v>
      </c>
      <c r="C11" s="11" t="n">
        <f aca="false">SUM(C5:C10)</f>
        <v>74732</v>
      </c>
      <c r="D11" s="11" t="n">
        <f aca="false">SUM(D5:D10)</f>
        <v>75998</v>
      </c>
      <c r="E11" s="11" t="n">
        <f aca="false">SUM(E5:E10)</f>
        <v>76041</v>
      </c>
      <c r="F11" s="11" t="n">
        <f aca="false">SUM(F5:F10)</f>
        <v>75227</v>
      </c>
      <c r="G11" s="11" t="n">
        <f aca="false">SUM(G5:G10)</f>
        <v>73844</v>
      </c>
      <c r="H11" s="11" t="n">
        <f aca="false">SUM(H5:H10)</f>
        <v>75480</v>
      </c>
      <c r="I11" s="11" t="n">
        <f aca="false">SUM(I5:I10)</f>
        <v>64739</v>
      </c>
      <c r="J11" s="11" t="n">
        <f aca="false">SUM(J5:J10)</f>
        <v>55690</v>
      </c>
      <c r="K11" s="11" t="n">
        <f aca="false">SUM(K5:K10)</f>
        <v>60508</v>
      </c>
      <c r="L11" s="11" t="n">
        <f aca="false">SUM(L5:L10)</f>
        <v>59171</v>
      </c>
      <c r="M11" s="11" t="n">
        <f aca="false">SUM(M5:M10)</f>
        <v>54589</v>
      </c>
      <c r="N11" s="11" t="n">
        <f aca="false">SUM(N5:N10)</f>
        <v>49193</v>
      </c>
      <c r="O11" s="11" t="n">
        <f aca="false">SUM(O5:O10)</f>
        <v>795212</v>
      </c>
    </row>
    <row r="13" customFormat="false" ht="21.75" hidden="false" customHeight="true" outlineLevel="0" collapsed="false">
      <c r="A13" s="3" t="s">
        <v>269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21.75" hidden="false" customHeight="true" outlineLevel="0" collapsed="false">
      <c r="A14" s="4" t="s">
        <v>261</v>
      </c>
      <c r="B14" s="4" t="s">
        <v>262</v>
      </c>
      <c r="C14" s="4" t="s">
        <v>4</v>
      </c>
      <c r="D14" s="4" t="s">
        <v>5</v>
      </c>
      <c r="E14" s="4" t="s">
        <v>6</v>
      </c>
      <c r="F14" s="4" t="s">
        <v>7</v>
      </c>
      <c r="G14" s="4" t="s">
        <v>8</v>
      </c>
      <c r="H14" s="4" t="s">
        <v>9</v>
      </c>
      <c r="I14" s="4" t="s">
        <v>10</v>
      </c>
      <c r="J14" s="4" t="s">
        <v>11</v>
      </c>
      <c r="K14" s="4" t="s">
        <v>12</v>
      </c>
      <c r="L14" s="4" t="s">
        <v>13</v>
      </c>
      <c r="M14" s="4" t="s">
        <v>14</v>
      </c>
      <c r="N14" s="4" t="s">
        <v>15</v>
      </c>
      <c r="O14" s="4" t="s">
        <v>16</v>
      </c>
    </row>
    <row r="15" customFormat="false" ht="15" hidden="false" customHeight="false" outlineLevel="0" collapsed="false">
      <c r="A15" s="5" t="s">
        <v>270</v>
      </c>
      <c r="B15" s="10" t="n">
        <v>37300</v>
      </c>
      <c r="C15" s="10" t="n">
        <v>36800</v>
      </c>
      <c r="D15" s="10" t="n">
        <v>36800</v>
      </c>
      <c r="E15" s="10" t="n">
        <v>36800</v>
      </c>
      <c r="F15" s="10" t="n">
        <v>36800</v>
      </c>
      <c r="G15" s="10" t="n">
        <v>36800</v>
      </c>
      <c r="H15" s="10" t="n">
        <v>36800</v>
      </c>
      <c r="I15" s="10" t="n">
        <v>39800</v>
      </c>
      <c r="J15" s="10" t="n">
        <v>39800</v>
      </c>
      <c r="K15" s="10" t="n">
        <v>36800</v>
      </c>
      <c r="L15" s="10" t="n">
        <v>36800</v>
      </c>
      <c r="M15" s="10" t="n">
        <v>36800</v>
      </c>
      <c r="N15" s="10" t="n">
        <v>36800</v>
      </c>
      <c r="O15" s="11" t="n">
        <f aca="false">SUM(C15:N15)</f>
        <v>447600</v>
      </c>
    </row>
    <row r="16" customFormat="false" ht="15" hidden="false" customHeight="false" outlineLevel="0" collapsed="false">
      <c r="A16" s="5" t="s">
        <v>271</v>
      </c>
      <c r="B16" s="10" t="n">
        <v>18650</v>
      </c>
      <c r="C16" s="10" t="n">
        <v>18400</v>
      </c>
      <c r="D16" s="10" t="n">
        <v>18400</v>
      </c>
      <c r="E16" s="10" t="n">
        <v>18400</v>
      </c>
      <c r="F16" s="10" t="n">
        <v>18400</v>
      </c>
      <c r="G16" s="10" t="n">
        <v>18400</v>
      </c>
      <c r="H16" s="10" t="n">
        <v>18400</v>
      </c>
      <c r="I16" s="10" t="n">
        <v>19900</v>
      </c>
      <c r="J16" s="10" t="n">
        <v>19900</v>
      </c>
      <c r="K16" s="10" t="n">
        <v>18400</v>
      </c>
      <c r="L16" s="10" t="n">
        <v>18400</v>
      </c>
      <c r="M16" s="10" t="n">
        <v>18400</v>
      </c>
      <c r="N16" s="10" t="n">
        <v>18400</v>
      </c>
      <c r="O16" s="11" t="n">
        <f aca="false">SUM(C16:N16)</f>
        <v>223800</v>
      </c>
    </row>
    <row r="17" customFormat="false" ht="15" hidden="false" customHeight="false" outlineLevel="0" collapsed="false">
      <c r="A17" s="5" t="s">
        <v>272</v>
      </c>
      <c r="B17" s="10" t="n">
        <v>6000</v>
      </c>
      <c r="C17" s="10" t="n">
        <f aca="false">SUM(Énergie!E5:E8)</f>
        <v>5484</v>
      </c>
      <c r="D17" s="10" t="n">
        <f aca="false">SUM(Énergie!E9:E12)</f>
        <v>5515</v>
      </c>
      <c r="E17" s="10" t="n">
        <f aca="false">SUM(Énergie!E13:E16)</f>
        <v>5534</v>
      </c>
      <c r="F17" s="10" t="n">
        <f aca="false">SUM(Énergie!E17:E20)</f>
        <v>6087</v>
      </c>
      <c r="G17" s="10" t="n">
        <f aca="false">SUM(Énergie!E21:E24)</f>
        <v>6654</v>
      </c>
      <c r="H17" s="10" t="n">
        <f aca="false">SUM(Énergie!E25:E28)</f>
        <v>7304</v>
      </c>
      <c r="I17" s="10" t="n">
        <f aca="false">SUM(Énergie!E29:E32)</f>
        <v>7396</v>
      </c>
      <c r="J17" s="10" t="n">
        <f aca="false">SUM(Énergie!E33:E36)</f>
        <v>7344</v>
      </c>
      <c r="K17" s="10" t="n">
        <f aca="false">SUM(Énergie!E37:E40)</f>
        <v>7537</v>
      </c>
      <c r="L17" s="10" t="n">
        <f aca="false">SUM(Énergie!E41:E44)</f>
        <v>7923</v>
      </c>
      <c r="M17" s="10" t="n">
        <f aca="false">SUM(Énergie!E45:E48)</f>
        <v>8185</v>
      </c>
      <c r="N17" s="10" t="n">
        <f aca="false">SUM(Énergie!E49:E52)</f>
        <v>8392</v>
      </c>
      <c r="O17" s="11" t="n">
        <f aca="false">SUM(C17:N17)</f>
        <v>83355</v>
      </c>
    </row>
    <row r="18" customFormat="false" ht="15" hidden="false" customHeight="false" outlineLevel="0" collapsed="false">
      <c r="A18" s="5" t="s">
        <v>273</v>
      </c>
      <c r="B18" s="10" t="n">
        <v>4600</v>
      </c>
      <c r="C18" s="10" t="n">
        <f aca="false">SUM(Énergie!F5:F8)</f>
        <v>4377</v>
      </c>
      <c r="D18" s="10" t="n">
        <f aca="false">SUM(Énergie!F9:F12)</f>
        <v>4461</v>
      </c>
      <c r="E18" s="10" t="n">
        <f aca="false">SUM(Énergie!F13:F16)</f>
        <v>4214</v>
      </c>
      <c r="F18" s="10" t="n">
        <f aca="false">SUM(Énergie!F17:F20)</f>
        <v>4462</v>
      </c>
      <c r="G18" s="10" t="n">
        <f aca="false">SUM(Énergie!F21:F24)</f>
        <v>4793</v>
      </c>
      <c r="H18" s="10" t="n">
        <f aca="false">SUM(Énergie!F25:F28)</f>
        <v>5160</v>
      </c>
      <c r="I18" s="10" t="n">
        <f aca="false">SUM(Énergie!F29:F32)</f>
        <v>4414</v>
      </c>
      <c r="J18" s="10" t="n">
        <f aca="false">SUM(Énergie!F33:F36)</f>
        <v>4254</v>
      </c>
      <c r="K18" s="10" t="n">
        <f aca="false">SUM(Énergie!F37:F40)</f>
        <v>4700</v>
      </c>
      <c r="L18" s="10" t="n">
        <f aca="false">SUM(Énergie!F41:F44)</f>
        <v>5507</v>
      </c>
      <c r="M18" s="10" t="n">
        <f aca="false">SUM(Énergie!F45:F48)</f>
        <v>6214</v>
      </c>
      <c r="N18" s="10" t="n">
        <f aca="false">SUM(Énergie!F49:F52)</f>
        <v>6817</v>
      </c>
      <c r="O18" s="11" t="n">
        <f aca="false">SUM(C18:N18)</f>
        <v>59373</v>
      </c>
    </row>
    <row r="19" customFormat="false" ht="15" hidden="false" customHeight="false" outlineLevel="0" collapsed="false">
      <c r="A19" s="5" t="s">
        <v>274</v>
      </c>
      <c r="B19" s="10" t="n">
        <v>3600</v>
      </c>
      <c r="C19" s="10" t="n">
        <f aca="false">SUM(Énergie!G5:G8)</f>
        <v>3368</v>
      </c>
      <c r="D19" s="10" t="n">
        <f aca="false">SUM(Énergie!G9:G12)</f>
        <v>3422</v>
      </c>
      <c r="E19" s="10" t="n">
        <f aca="false">SUM(Énergie!G13:G16)</f>
        <v>3394</v>
      </c>
      <c r="F19" s="10" t="n">
        <f aca="false">SUM(Énergie!G17:G20)</f>
        <v>3378</v>
      </c>
      <c r="G19" s="10" t="n">
        <f aca="false">SUM(Énergie!G21:G24)</f>
        <v>3288</v>
      </c>
      <c r="H19" s="10" t="n">
        <f aca="false">SUM(Énergie!G25:G28)</f>
        <v>3396</v>
      </c>
      <c r="I19" s="10" t="n">
        <f aca="false">SUM(Énergie!G29:G32)</f>
        <v>3058</v>
      </c>
      <c r="J19" s="10" t="n">
        <f aca="false">SUM(Énergie!G33:G36)</f>
        <v>2702</v>
      </c>
      <c r="K19" s="10" t="n">
        <f aca="false">SUM(Énergie!G37:G40)</f>
        <v>2902</v>
      </c>
      <c r="L19" s="10" t="n">
        <f aca="false">SUM(Énergie!G41:G44)</f>
        <v>2870</v>
      </c>
      <c r="M19" s="10" t="n">
        <f aca="false">SUM(Énergie!G45:G48)</f>
        <v>2772</v>
      </c>
      <c r="N19" s="10" t="n">
        <f aca="false">SUM(Énergie!G49:G52)</f>
        <v>2574</v>
      </c>
      <c r="O19" s="11" t="n">
        <f aca="false">SUM(C19:N19)</f>
        <v>37124</v>
      </c>
    </row>
    <row r="20" customFormat="false" ht="15" hidden="false" customHeight="false" outlineLevel="0" collapsed="false">
      <c r="A20" s="5" t="s">
        <v>275</v>
      </c>
      <c r="B20" s="10" t="n">
        <v>3050</v>
      </c>
      <c r="C20" s="10" t="n">
        <v>3040</v>
      </c>
      <c r="D20" s="10" t="n">
        <v>3060</v>
      </c>
      <c r="E20" s="10" t="n">
        <v>3050</v>
      </c>
      <c r="F20" s="10" t="n">
        <v>3050</v>
      </c>
      <c r="G20" s="10" t="n">
        <v>3020</v>
      </c>
      <c r="H20" s="10" t="n">
        <v>3050</v>
      </c>
      <c r="I20" s="10" t="n">
        <v>2950</v>
      </c>
      <c r="J20" s="10" t="n">
        <v>2840</v>
      </c>
      <c r="K20" s="10" t="n">
        <v>2900</v>
      </c>
      <c r="L20" s="10" t="n">
        <v>2890</v>
      </c>
      <c r="M20" s="10" t="n">
        <v>2860</v>
      </c>
      <c r="N20" s="10" t="n">
        <v>2800</v>
      </c>
      <c r="O20" s="11" t="n">
        <f aca="false">SUM(C20:N20)</f>
        <v>35510</v>
      </c>
    </row>
    <row r="21" customFormat="false" ht="15" hidden="false" customHeight="false" outlineLevel="0" collapsed="false">
      <c r="A21" s="5" t="s">
        <v>276</v>
      </c>
      <c r="B21" s="10" t="n">
        <v>2500</v>
      </c>
      <c r="C21" s="10" t="n">
        <v>2500</v>
      </c>
      <c r="D21" s="10" t="n">
        <v>2500</v>
      </c>
      <c r="E21" s="10" t="n">
        <v>2500</v>
      </c>
      <c r="F21" s="10" t="n">
        <v>2500</v>
      </c>
      <c r="G21" s="10" t="n">
        <v>2500</v>
      </c>
      <c r="H21" s="10" t="n">
        <v>2500</v>
      </c>
      <c r="I21" s="10" t="n">
        <v>2500</v>
      </c>
      <c r="J21" s="10" t="n">
        <v>2500</v>
      </c>
      <c r="K21" s="10" t="n">
        <v>2500</v>
      </c>
      <c r="L21" s="10" t="n">
        <v>2500</v>
      </c>
      <c r="M21" s="10" t="n">
        <v>2500</v>
      </c>
      <c r="N21" s="10" t="n">
        <v>2500</v>
      </c>
      <c r="O21" s="11" t="n">
        <f aca="false">SUM(C21:N21)</f>
        <v>30000</v>
      </c>
    </row>
    <row r="22" customFormat="false" ht="15" hidden="false" customHeight="false" outlineLevel="0" collapsed="false">
      <c r="A22" s="5" t="s">
        <v>277</v>
      </c>
      <c r="B22" s="10" t="n">
        <v>1200</v>
      </c>
      <c r="C22" s="10" t="n">
        <v>850</v>
      </c>
      <c r="D22" s="10" t="n">
        <v>1420</v>
      </c>
      <c r="E22" s="10" t="n">
        <v>610</v>
      </c>
      <c r="F22" s="10" t="n">
        <v>980</v>
      </c>
      <c r="G22" s="10" t="n">
        <v>1250</v>
      </c>
      <c r="H22" s="10" t="n">
        <v>720</v>
      </c>
      <c r="I22" s="10" t="n">
        <v>1980</v>
      </c>
      <c r="J22" s="10" t="n">
        <v>540</v>
      </c>
      <c r="K22" s="10" t="n">
        <v>1130</v>
      </c>
      <c r="L22" s="10" t="n">
        <v>860</v>
      </c>
      <c r="M22" s="10" t="n">
        <v>1560</v>
      </c>
      <c r="N22" s="10" t="n">
        <v>940</v>
      </c>
      <c r="O22" s="11" t="n">
        <f aca="false">SUM(C22:N22)</f>
        <v>12840</v>
      </c>
    </row>
    <row r="23" customFormat="false" ht="15" hidden="false" customHeight="false" outlineLevel="0" collapsed="false">
      <c r="A23" s="5" t="s">
        <v>278</v>
      </c>
      <c r="B23" s="10" t="n">
        <v>1500</v>
      </c>
      <c r="C23" s="10" t="n">
        <v>1500</v>
      </c>
      <c r="D23" s="10" t="n">
        <v>1500</v>
      </c>
      <c r="E23" s="10" t="n">
        <v>1500</v>
      </c>
      <c r="F23" s="10" t="n">
        <v>1500</v>
      </c>
      <c r="G23" s="10" t="n">
        <v>1500</v>
      </c>
      <c r="H23" s="10" t="n">
        <v>1500</v>
      </c>
      <c r="I23" s="10" t="n">
        <v>1500</v>
      </c>
      <c r="J23" s="10" t="n">
        <v>1500</v>
      </c>
      <c r="K23" s="10" t="n">
        <v>1500</v>
      </c>
      <c r="L23" s="10" t="n">
        <v>1500</v>
      </c>
      <c r="M23" s="10" t="n">
        <v>1500</v>
      </c>
      <c r="N23" s="10" t="n">
        <v>1500</v>
      </c>
      <c r="O23" s="11" t="n">
        <f aca="false">SUM(C23:N23)</f>
        <v>18000</v>
      </c>
    </row>
    <row r="24" customFormat="false" ht="15" hidden="false" customHeight="false" outlineLevel="0" collapsed="false">
      <c r="A24" s="5" t="s">
        <v>279</v>
      </c>
      <c r="B24" s="10" t="n">
        <v>1100</v>
      </c>
      <c r="C24" s="10" t="n">
        <v>1170</v>
      </c>
      <c r="D24" s="10" t="n">
        <v>1080</v>
      </c>
      <c r="E24" s="10" t="n">
        <v>1000</v>
      </c>
      <c r="F24" s="10" t="n">
        <v>1000</v>
      </c>
      <c r="G24" s="10" t="n">
        <v>1020</v>
      </c>
      <c r="H24" s="10" t="n">
        <v>1040</v>
      </c>
      <c r="I24" s="10" t="n">
        <v>1110</v>
      </c>
      <c r="J24" s="10" t="n">
        <v>1050</v>
      </c>
      <c r="K24" s="10" t="n">
        <v>1090</v>
      </c>
      <c r="L24" s="10" t="n">
        <v>1000</v>
      </c>
      <c r="M24" s="10" t="n">
        <v>1120</v>
      </c>
      <c r="N24" s="10" t="n">
        <v>1160</v>
      </c>
      <c r="O24" s="11" t="n">
        <f aca="false">SUM(C24:N24)</f>
        <v>12840</v>
      </c>
    </row>
    <row r="25" customFormat="false" ht="15" hidden="false" customHeight="false" outlineLevel="0" collapsed="false">
      <c r="A25" s="12" t="s">
        <v>48</v>
      </c>
      <c r="B25" s="11" t="n">
        <f aca="false">SUM(B15:B24)</f>
        <v>79500</v>
      </c>
      <c r="C25" s="11" t="n">
        <f aca="false">SUM(C15:C24)</f>
        <v>77489</v>
      </c>
      <c r="D25" s="11" t="n">
        <f aca="false">SUM(D15:D24)</f>
        <v>78158</v>
      </c>
      <c r="E25" s="11" t="n">
        <f aca="false">SUM(E15:E24)</f>
        <v>77002</v>
      </c>
      <c r="F25" s="11" t="n">
        <f aca="false">SUM(F15:F24)</f>
        <v>78157</v>
      </c>
      <c r="G25" s="11" t="n">
        <f aca="false">SUM(G15:G24)</f>
        <v>79225</v>
      </c>
      <c r="H25" s="11" t="n">
        <f aca="false">SUM(H15:H24)</f>
        <v>79870</v>
      </c>
      <c r="I25" s="11" t="n">
        <f aca="false">SUM(I15:I24)</f>
        <v>84608</v>
      </c>
      <c r="J25" s="11" t="n">
        <f aca="false">SUM(J15:J24)</f>
        <v>82430</v>
      </c>
      <c r="K25" s="11" t="n">
        <f aca="false">SUM(K15:K24)</f>
        <v>79459</v>
      </c>
      <c r="L25" s="11" t="n">
        <f aca="false">SUM(L15:L24)</f>
        <v>80250</v>
      </c>
      <c r="M25" s="11" t="n">
        <f aca="false">SUM(M15:M24)</f>
        <v>81911</v>
      </c>
      <c r="N25" s="11" t="n">
        <f aca="false">SUM(N15:N24)</f>
        <v>81883</v>
      </c>
      <c r="O25" s="11" t="n">
        <f aca="false">SUM(O15:O24)</f>
        <v>960442</v>
      </c>
    </row>
    <row r="27" customFormat="false" ht="15" hidden="false" customHeight="false" outlineLevel="0" collapsed="false">
      <c r="A27" s="3" t="s">
        <v>49</v>
      </c>
      <c r="B27" s="13" t="n">
        <f aca="false">B11-B25</f>
        <v>5400</v>
      </c>
      <c r="C27" s="13" t="n">
        <f aca="false">C11-C25</f>
        <v>-2757</v>
      </c>
      <c r="D27" s="13" t="n">
        <f aca="false">D11-D25</f>
        <v>-2160</v>
      </c>
      <c r="E27" s="13" t="n">
        <f aca="false">E11-E25</f>
        <v>-961</v>
      </c>
      <c r="F27" s="13" t="n">
        <f aca="false">F11-F25</f>
        <v>-2930</v>
      </c>
      <c r="G27" s="13" t="n">
        <f aca="false">G11-G25</f>
        <v>-5381</v>
      </c>
      <c r="H27" s="13" t="n">
        <f aca="false">H11-H25</f>
        <v>-4390</v>
      </c>
      <c r="I27" s="13" t="n">
        <f aca="false">I11-I25</f>
        <v>-19869</v>
      </c>
      <c r="J27" s="13" t="n">
        <f aca="false">J11-J25</f>
        <v>-26740</v>
      </c>
      <c r="K27" s="13" t="n">
        <f aca="false">K11-K25</f>
        <v>-18951</v>
      </c>
      <c r="L27" s="13" t="n">
        <f aca="false">L11-L25</f>
        <v>-21079</v>
      </c>
      <c r="M27" s="13" t="n">
        <f aca="false">M11-M25</f>
        <v>-27322</v>
      </c>
      <c r="N27" s="13" t="n">
        <f aca="false">N11-N25</f>
        <v>-32690</v>
      </c>
      <c r="O27" s="13" t="n">
        <f aca="false">O11-O25</f>
        <v>-165230</v>
      </c>
    </row>
    <row r="29" customFormat="false" ht="21.75" hidden="false" customHeight="true" outlineLevel="0" collapsed="false">
      <c r="A29" s="3" t="s">
        <v>280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21.75" hidden="false" customHeight="true" outlineLevel="0" collapsed="false">
      <c r="A30" s="4" t="s">
        <v>261</v>
      </c>
      <c r="B30" s="4" t="s">
        <v>262</v>
      </c>
      <c r="C30" s="4" t="s">
        <v>4</v>
      </c>
      <c r="D30" s="4" t="s">
        <v>5</v>
      </c>
      <c r="E30" s="4" t="s">
        <v>6</v>
      </c>
      <c r="F30" s="4" t="s">
        <v>7</v>
      </c>
      <c r="G30" s="4" t="s">
        <v>8</v>
      </c>
      <c r="H30" s="4" t="s">
        <v>9</v>
      </c>
      <c r="I30" s="4" t="s">
        <v>10</v>
      </c>
      <c r="J30" s="4" t="s">
        <v>11</v>
      </c>
      <c r="K30" s="4" t="s">
        <v>12</v>
      </c>
      <c r="L30" s="4" t="s">
        <v>13</v>
      </c>
      <c r="M30" s="4" t="s">
        <v>14</v>
      </c>
      <c r="N30" s="4" t="s">
        <v>15</v>
      </c>
      <c r="O30" s="4" t="s">
        <v>16</v>
      </c>
    </row>
    <row r="31" customFormat="false" ht="15" hidden="false" customHeight="false" outlineLevel="0" collapsed="false">
      <c r="A31" s="5" t="s">
        <v>281</v>
      </c>
      <c r="B31" s="23" t="s">
        <v>28</v>
      </c>
      <c r="C31" s="19" t="n">
        <f aca="false">IF(Fréquentation!G9&lt;&gt;0,C11/Fréquentation!G9,0)</f>
        <v>9.3135593220339</v>
      </c>
      <c r="D31" s="19" t="n">
        <f aca="false">IF(Fréquentation!G17&lt;&gt;0,D11/Fréquentation!G17,0)</f>
        <v>9.22529740228211</v>
      </c>
      <c r="E31" s="19" t="n">
        <f aca="false">IF(Fréquentation!G25&lt;&gt;0,E11/Fréquentation!G25,0)</f>
        <v>9.34853700516351</v>
      </c>
      <c r="F31" s="19" t="n">
        <f aca="false">IF(Fréquentation!G33&lt;&gt;0,F11/Fréquentation!G33,0)</f>
        <v>9.31719098340352</v>
      </c>
      <c r="G31" s="19" t="n">
        <f aca="false">IF(Fréquentation!G41&lt;&gt;0,G11/Fréquentation!G41,0)</f>
        <v>9.56528497409327</v>
      </c>
      <c r="H31" s="19" t="n">
        <f aca="false">IF(Fréquentation!G49&lt;&gt;0,H11/Fréquentation!G49,0)</f>
        <v>9.27158825697089</v>
      </c>
      <c r="I31" s="19" t="n">
        <f aca="false">IF(Fréquentation!G57&lt;&gt;0,I11/Fréquentation!G57,0)</f>
        <v>9.45785244704164</v>
      </c>
      <c r="J31" s="19" t="n">
        <f aca="false">IF(Fréquentation!G65&lt;&gt;0,J11/Fréquentation!G65,0)</f>
        <v>10.1921669106881</v>
      </c>
      <c r="K31" s="19" t="n">
        <f aca="false">IF(Fréquentation!G73&lt;&gt;0,K11/Fréquentation!G73,0)</f>
        <v>9.70145903479237</v>
      </c>
      <c r="L31" s="19" t="n">
        <f aca="false">IF(Fréquentation!G81&lt;&gt;0,L11/Fréquentation!G81,0)</f>
        <v>9.67162471395881</v>
      </c>
      <c r="M31" s="19" t="n">
        <f aca="false">IF(Fréquentation!G89&lt;&gt;0,M11/Fréquentation!G89,0)</f>
        <v>9.51193587733055</v>
      </c>
      <c r="N31" s="19" t="n">
        <f aca="false">IF(Fréquentation!G97&lt;&gt;0,N11/Fréquentation!G97,0)</f>
        <v>9.85831663326653</v>
      </c>
      <c r="O31" s="20" t="n">
        <f aca="false">IF(SUM(Fréquentation!G9,Fréquentation!G17,Fréquentation!G25,Fréquentation!G33,Fréquentation!G41,Fréquentation!G49,Fréquentation!G57,Fréquentation!G65,Fréquentation!G73,Fréquentation!G81,Fréquentation!G89,Fréquentation!G97)&lt;&gt;0,O11/SUM(Fréquentation!G9,Fréquentation!G17,Fréquentation!G25,Fréquentation!G33,Fréquentation!G41,Fréquentation!G49,Fréquentation!G57,Fréquentation!G65,Fréquentation!G73,Fréquentation!G81,Fréquentation!G89,Fréquentation!G97),0)</f>
        <v>9.49801729492141</v>
      </c>
    </row>
    <row r="32" customFormat="false" ht="15" hidden="false" customHeight="false" outlineLevel="0" collapsed="false">
      <c r="A32" s="5" t="s">
        <v>282</v>
      </c>
      <c r="B32" s="23" t="s">
        <v>28</v>
      </c>
      <c r="C32" s="19" t="n">
        <f aca="false">IF(Fréquentation!G9&lt;&gt;0,C25/Fréquentation!G9,0)</f>
        <v>9.65715353938185</v>
      </c>
      <c r="D32" s="19" t="n">
        <f aca="false">IF(Fréquentation!G17&lt;&gt;0,D25/Fréquentation!G17,0)</f>
        <v>9.48749696528284</v>
      </c>
      <c r="E32" s="19" t="n">
        <f aca="false">IF(Fréquentation!G25&lt;&gt;0,E25/Fréquentation!G25,0)</f>
        <v>9.46668305876568</v>
      </c>
      <c r="F32" s="19" t="n">
        <f aca="false">IF(Fréquentation!G33&lt;&gt;0,F25/Fréquentation!G33,0)</f>
        <v>9.68008422095616</v>
      </c>
      <c r="G32" s="19" t="n">
        <f aca="false">IF(Fréquentation!G41&lt;&gt;0,G25/Fréquentation!G41,0)</f>
        <v>10.2623056994819</v>
      </c>
      <c r="H32" s="19" t="n">
        <f aca="false">IF(Fréquentation!G49&lt;&gt;0,H25/Fréquentation!G49,0)</f>
        <v>9.81083404987102</v>
      </c>
      <c r="I32" s="19" t="n">
        <f aca="false">IF(Fréquentation!G57&lt;&gt;0,I25/Fréquentation!G57,0)</f>
        <v>12.3605551497443</v>
      </c>
      <c r="J32" s="19" t="n">
        <f aca="false">IF(Fréquentation!G65&lt;&gt;0,J25/Fréquentation!G65,0)</f>
        <v>15.0860175695461</v>
      </c>
      <c r="K32" s="19" t="n">
        <f aca="false">IF(Fréquentation!G73&lt;&gt;0,K25/Fréquentation!G73,0)</f>
        <v>12.7399390732724</v>
      </c>
      <c r="L32" s="19" t="n">
        <f aca="false">IF(Fréquentation!G81&lt;&gt;0,L25/Fréquentation!G81,0)</f>
        <v>13.1170317097091</v>
      </c>
      <c r="M32" s="19" t="n">
        <f aca="false">IF(Fréquentation!G89&lt;&gt;0,M25/Fréquentation!G89,0)</f>
        <v>14.2726955915665</v>
      </c>
      <c r="N32" s="19" t="n">
        <f aca="false">IF(Fréquentation!G97&lt;&gt;0,N25/Fréquentation!G97,0)</f>
        <v>16.4094188376754</v>
      </c>
      <c r="O32" s="20" t="n">
        <f aca="false">IF(SUM(Fréquentation!G9,Fréquentation!G17,Fréquentation!G25,Fréquentation!G33,Fréquentation!G41,Fréquentation!G49,Fréquentation!G57,Fréquentation!G65,Fréquentation!G73,Fréquentation!G81,Fréquentation!G89,Fréquentation!G97)&lt;&gt;0,O25/SUM(Fréquentation!G9,Fréquentation!G17,Fréquentation!G25,Fréquentation!G33,Fréquentation!G41,Fréquentation!G49,Fréquentation!G57,Fréquentation!G65,Fréquentation!G73,Fréquentation!G81,Fréquentation!G89,Fréquentation!G97),0)</f>
        <v>11.4715254885099</v>
      </c>
    </row>
    <row r="33" customFormat="false" ht="15" hidden="false" customHeight="false" outlineLevel="0" collapsed="false">
      <c r="A33" s="5" t="s">
        <v>283</v>
      </c>
      <c r="B33" s="23" t="s">
        <v>28</v>
      </c>
      <c r="C33" s="9" t="n">
        <f aca="false">IF(C5&lt;&gt;0,(C5-C17-C18-C19)/C5,0)</f>
        <v>0.581493198354951</v>
      </c>
      <c r="D33" s="9" t="n">
        <f aca="false">IF(D5&lt;&gt;0,(D5-D17-D18-D19)/D5,0)</f>
        <v>0.585201238390093</v>
      </c>
      <c r="E33" s="9" t="n">
        <f aca="false">IF(E5&lt;&gt;0,(E5-E17-E18-E19)/E5,0)</f>
        <v>0.585817838008194</v>
      </c>
      <c r="F33" s="9" t="n">
        <f aca="false">IF(F5&lt;&gt;0,(F5-F17-F18-F19)/F5,0)</f>
        <v>0.557732613528104</v>
      </c>
      <c r="G33" s="9" t="n">
        <f aca="false">IF(G5&lt;&gt;0,(G5-G17-G18-G19)/G5,0)</f>
        <v>0.50570278430057</v>
      </c>
      <c r="H33" s="9" t="n">
        <f aca="false">IF(H5&lt;&gt;0,(H5-H17-H18-H19)/H5,0)</f>
        <v>0.502509410288582</v>
      </c>
      <c r="I33" s="9" t="n">
        <f aca="false">IF(I5&lt;&gt;0,(I5-I17-I18-I19)/I5,0)</f>
        <v>0.462667148536321</v>
      </c>
      <c r="J33" s="9" t="n">
        <f aca="false">IF(J5&lt;&gt;0,(J5-J17-J18-J19)/J5,0)</f>
        <v>0.358168761220826</v>
      </c>
      <c r="K33" s="9" t="n">
        <f aca="false">IF(K5&lt;&gt;0,(K5-K17-K18-K19)/K5,0)</f>
        <v>0.370519750519751</v>
      </c>
      <c r="L33" s="9" t="n">
        <f aca="false">IF(L5&lt;&gt;0,(L5-L17-L18-L19)/L5,0)</f>
        <v>0.313973063973064</v>
      </c>
      <c r="M33" s="9" t="n">
        <f aca="false">IF(M5&lt;&gt;0,(M5-M17-M18-M19)/M5,0)</f>
        <v>0.219854611540209</v>
      </c>
      <c r="N33" s="9" t="n">
        <f aca="false">IF(N5&lt;&gt;0,(N5-N17-N18-N19)/N5,0)</f>
        <v>0.0842945417095778</v>
      </c>
      <c r="O33" s="8" t="n">
        <f aca="false">IF(O5&lt;&gt;0,(O5-O17-O18-O19)/O5,0)</f>
        <v>0.451687448553398</v>
      </c>
    </row>
  </sheetData>
  <mergeCells count="4">
    <mergeCell ref="A1:O1"/>
    <mergeCell ref="A3:O3"/>
    <mergeCell ref="A13:O13"/>
    <mergeCell ref="A29:O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14" min="9" style="0" width="11"/>
  </cols>
  <sheetData>
    <row r="1" customFormat="false" ht="34.5" hidden="false" customHeight="true" outlineLevel="0" collapsed="false">
      <c r="A1" s="21" t="s">
        <v>284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customFormat="false" ht="21.75" hidden="false" customHeight="true" outlineLevel="0" collapsed="false">
      <c r="A3" s="12" t="s">
        <v>285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customFormat="false" ht="21.75" hidden="false" customHeight="true" outlineLevel="0" collapsed="false">
      <c r="A4" s="4" t="s">
        <v>261</v>
      </c>
      <c r="B4" s="4" t="s">
        <v>286</v>
      </c>
      <c r="C4" s="4" t="s">
        <v>241</v>
      </c>
      <c r="D4" s="4" t="s">
        <v>242</v>
      </c>
      <c r="E4" s="4" t="s">
        <v>6</v>
      </c>
      <c r="F4" s="4" t="s">
        <v>243</v>
      </c>
      <c r="G4" s="4" t="s">
        <v>8</v>
      </c>
      <c r="H4" s="4" t="s">
        <v>9</v>
      </c>
      <c r="I4" s="4" t="s">
        <v>244</v>
      </c>
      <c r="J4" s="4" t="s">
        <v>11</v>
      </c>
      <c r="K4" s="4" t="s">
        <v>245</v>
      </c>
      <c r="L4" s="4" t="s">
        <v>246</v>
      </c>
      <c r="M4" s="4" t="s">
        <v>247</v>
      </c>
      <c r="N4" s="4" t="s">
        <v>248</v>
      </c>
    </row>
    <row r="5" customFormat="false" ht="15" hidden="false" customHeight="false" outlineLevel="0" collapsed="false">
      <c r="A5" s="5" t="s">
        <v>287</v>
      </c>
      <c r="B5" s="24" t="n">
        <v>8</v>
      </c>
      <c r="C5" s="24" t="n">
        <v>7.5</v>
      </c>
      <c r="D5" s="24" t="n">
        <v>7.8</v>
      </c>
      <c r="E5" s="24" t="n">
        <v>8</v>
      </c>
      <c r="F5" s="24" t="n">
        <v>8</v>
      </c>
      <c r="G5" s="24" t="n">
        <v>8</v>
      </c>
      <c r="H5" s="24" t="n">
        <v>7.8</v>
      </c>
      <c r="I5" s="24" t="n">
        <v>9.5</v>
      </c>
      <c r="J5" s="24" t="n">
        <v>9.5</v>
      </c>
      <c r="K5" s="24" t="n">
        <v>8</v>
      </c>
      <c r="L5" s="24" t="n">
        <v>7.8</v>
      </c>
      <c r="M5" s="24" t="n">
        <v>8</v>
      </c>
      <c r="N5" s="24" t="n">
        <v>7.6</v>
      </c>
    </row>
    <row r="6" customFormat="false" ht="15" hidden="false" customHeight="false" outlineLevel="0" collapsed="false">
      <c r="A6" s="5" t="s">
        <v>288</v>
      </c>
      <c r="B6" s="24" t="n">
        <v>3</v>
      </c>
      <c r="C6" s="24" t="n">
        <v>3</v>
      </c>
      <c r="D6" s="24" t="n">
        <v>3</v>
      </c>
      <c r="E6" s="24" t="n">
        <v>3</v>
      </c>
      <c r="F6" s="24" t="n">
        <v>3</v>
      </c>
      <c r="G6" s="24" t="n">
        <v>3</v>
      </c>
      <c r="H6" s="24" t="n">
        <v>3</v>
      </c>
      <c r="I6" s="24" t="n">
        <v>3.5</v>
      </c>
      <c r="J6" s="24" t="n">
        <v>3.5</v>
      </c>
      <c r="K6" s="24" t="n">
        <v>3</v>
      </c>
      <c r="L6" s="24" t="n">
        <v>3</v>
      </c>
      <c r="M6" s="24" t="n">
        <v>3</v>
      </c>
      <c r="N6" s="24" t="n">
        <v>3</v>
      </c>
    </row>
    <row r="7" customFormat="false" ht="15" hidden="false" customHeight="false" outlineLevel="0" collapsed="false">
      <c r="A7" s="5" t="s">
        <v>289</v>
      </c>
      <c r="B7" s="24" t="n">
        <v>2</v>
      </c>
      <c r="C7" s="24" t="n">
        <v>2</v>
      </c>
      <c r="D7" s="24" t="n">
        <v>2</v>
      </c>
      <c r="E7" s="24" t="n">
        <v>2</v>
      </c>
      <c r="F7" s="24" t="n">
        <v>2</v>
      </c>
      <c r="G7" s="24" t="n">
        <v>2</v>
      </c>
      <c r="H7" s="24" t="n">
        <v>2</v>
      </c>
      <c r="I7" s="24" t="n">
        <v>2</v>
      </c>
      <c r="J7" s="24" t="n">
        <v>2</v>
      </c>
      <c r="K7" s="24" t="n">
        <v>2</v>
      </c>
      <c r="L7" s="24" t="n">
        <v>2</v>
      </c>
      <c r="M7" s="24" t="n">
        <v>2</v>
      </c>
      <c r="N7" s="24" t="n">
        <v>2</v>
      </c>
    </row>
    <row r="8" customFormat="false" ht="15" hidden="false" customHeight="false" outlineLevel="0" collapsed="false">
      <c r="A8" s="5" t="s">
        <v>290</v>
      </c>
      <c r="B8" s="24" t="n">
        <v>3</v>
      </c>
      <c r="C8" s="24" t="n">
        <v>2.8</v>
      </c>
      <c r="D8" s="24" t="n">
        <v>2.9</v>
      </c>
      <c r="E8" s="24" t="n">
        <v>3</v>
      </c>
      <c r="F8" s="24" t="n">
        <v>3</v>
      </c>
      <c r="G8" s="24" t="n">
        <v>3</v>
      </c>
      <c r="H8" s="24" t="n">
        <v>3</v>
      </c>
      <c r="I8" s="24" t="n">
        <v>3.2</v>
      </c>
      <c r="J8" s="24" t="n">
        <v>3.2</v>
      </c>
      <c r="K8" s="24" t="n">
        <v>3</v>
      </c>
      <c r="L8" s="24" t="n">
        <v>2.9</v>
      </c>
      <c r="M8" s="24" t="n">
        <v>3</v>
      </c>
      <c r="N8" s="24" t="n">
        <v>2.8</v>
      </c>
    </row>
    <row r="9" customFormat="false" ht="15" hidden="false" customHeight="false" outlineLevel="0" collapsed="false">
      <c r="A9" s="5" t="s">
        <v>291</v>
      </c>
      <c r="B9" s="24" t="n">
        <v>2</v>
      </c>
      <c r="C9" s="24" t="n">
        <v>2</v>
      </c>
      <c r="D9" s="24" t="n">
        <v>2</v>
      </c>
      <c r="E9" s="24" t="n">
        <v>2</v>
      </c>
      <c r="F9" s="24" t="n">
        <v>2</v>
      </c>
      <c r="G9" s="24" t="n">
        <v>2</v>
      </c>
      <c r="H9" s="24" t="n">
        <v>2</v>
      </c>
      <c r="I9" s="24" t="n">
        <v>2</v>
      </c>
      <c r="J9" s="24" t="n">
        <v>2</v>
      </c>
      <c r="K9" s="24" t="n">
        <v>2</v>
      </c>
      <c r="L9" s="24" t="n">
        <v>2</v>
      </c>
      <c r="M9" s="24" t="n">
        <v>2</v>
      </c>
      <c r="N9" s="24" t="n">
        <v>2</v>
      </c>
    </row>
    <row r="10" customFormat="false" ht="15" hidden="false" customHeight="false" outlineLevel="0" collapsed="false">
      <c r="A10" s="12" t="s">
        <v>292</v>
      </c>
      <c r="B10" s="27" t="n">
        <f aca="false">SUM(B5:B9)</f>
        <v>18</v>
      </c>
      <c r="C10" s="27" t="n">
        <f aca="false">SUM(C5:C9)</f>
        <v>17.3</v>
      </c>
      <c r="D10" s="27" t="n">
        <f aca="false">SUM(D5:D9)</f>
        <v>17.7</v>
      </c>
      <c r="E10" s="27" t="n">
        <f aca="false">SUM(E5:E9)</f>
        <v>18</v>
      </c>
      <c r="F10" s="27" t="n">
        <f aca="false">SUM(F5:F9)</f>
        <v>18</v>
      </c>
      <c r="G10" s="27" t="n">
        <f aca="false">SUM(G5:G9)</f>
        <v>18</v>
      </c>
      <c r="H10" s="27" t="n">
        <f aca="false">SUM(H5:H9)</f>
        <v>17.8</v>
      </c>
      <c r="I10" s="27" t="n">
        <f aca="false">SUM(I5:I9)</f>
        <v>20.2</v>
      </c>
      <c r="J10" s="27" t="n">
        <f aca="false">SUM(J5:J9)</f>
        <v>20.2</v>
      </c>
      <c r="K10" s="27" t="n">
        <f aca="false">SUM(K5:K9)</f>
        <v>18</v>
      </c>
      <c r="L10" s="27" t="n">
        <f aca="false">SUM(L5:L9)</f>
        <v>17.7</v>
      </c>
      <c r="M10" s="27" t="n">
        <f aca="false">SUM(M5:M9)</f>
        <v>18</v>
      </c>
      <c r="N10" s="27" t="n">
        <f aca="false">SUM(N5:N9)</f>
        <v>17.4</v>
      </c>
    </row>
    <row r="12" customFormat="false" ht="21.75" hidden="false" customHeight="true" outlineLevel="0" collapsed="false">
      <c r="A12" s="12" t="s">
        <v>293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21.75" hidden="false" customHeight="true" outlineLevel="0" collapsed="false">
      <c r="A13" s="4" t="s">
        <v>3</v>
      </c>
      <c r="B13" s="4" t="s">
        <v>294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4" t="s">
        <v>9</v>
      </c>
      <c r="I13" s="4" t="s">
        <v>10</v>
      </c>
      <c r="J13" s="4" t="s">
        <v>11</v>
      </c>
      <c r="K13" s="4" t="s">
        <v>12</v>
      </c>
      <c r="L13" s="4" t="s">
        <v>13</v>
      </c>
      <c r="M13" s="4" t="s">
        <v>14</v>
      </c>
      <c r="N13" s="4" t="s">
        <v>15</v>
      </c>
    </row>
    <row r="14" customFormat="false" ht="15" hidden="false" customHeight="false" outlineLevel="0" collapsed="false">
      <c r="A14" s="5" t="s">
        <v>58</v>
      </c>
      <c r="B14" s="5" t="s">
        <v>295</v>
      </c>
      <c r="C14" s="6" t="n">
        <v>8</v>
      </c>
      <c r="D14" s="6" t="n">
        <v>12</v>
      </c>
      <c r="E14" s="6" t="n">
        <v>6</v>
      </c>
      <c r="F14" s="6" t="n">
        <v>9</v>
      </c>
      <c r="G14" s="6" t="n">
        <v>5</v>
      </c>
      <c r="H14" s="6" t="n">
        <v>7</v>
      </c>
      <c r="I14" s="6" t="n">
        <v>6</v>
      </c>
      <c r="J14" s="6" t="n">
        <v>4</v>
      </c>
      <c r="K14" s="6" t="n">
        <v>9</v>
      </c>
      <c r="L14" s="6" t="n">
        <v>8</v>
      </c>
      <c r="M14" s="6" t="n">
        <v>11</v>
      </c>
      <c r="N14" s="6" t="n">
        <v>10</v>
      </c>
    </row>
    <row r="15" customFormat="false" ht="15" hidden="false" customHeight="false" outlineLevel="0" collapsed="false">
      <c r="A15" s="5" t="s">
        <v>59</v>
      </c>
      <c r="B15" s="5" t="s">
        <v>296</v>
      </c>
      <c r="C15" s="9" t="n">
        <v>0.022</v>
      </c>
      <c r="D15" s="9" t="n">
        <v>0.033</v>
      </c>
      <c r="E15" s="9" t="n">
        <v>0.017</v>
      </c>
      <c r="F15" s="9" t="n">
        <v>0.025</v>
      </c>
      <c r="G15" s="9" t="n">
        <v>0.014</v>
      </c>
      <c r="H15" s="9" t="n">
        <v>0.019</v>
      </c>
      <c r="I15" s="9" t="n">
        <v>0.015</v>
      </c>
      <c r="J15" s="9" t="n">
        <v>0.01</v>
      </c>
      <c r="K15" s="9" t="n">
        <v>0.025</v>
      </c>
      <c r="L15" s="9" t="n">
        <v>0.022</v>
      </c>
      <c r="M15" s="9" t="n">
        <v>0.03</v>
      </c>
      <c r="N15" s="9" t="n">
        <v>0.028</v>
      </c>
    </row>
    <row r="16" customFormat="false" ht="15" hidden="false" customHeight="false" outlineLevel="0" collapsed="false">
      <c r="A16" s="5" t="s">
        <v>297</v>
      </c>
      <c r="B16" s="5" t="s">
        <v>28</v>
      </c>
      <c r="C16" s="6" t="n">
        <v>42</v>
      </c>
      <c r="D16" s="6" t="n">
        <v>38</v>
      </c>
      <c r="E16" s="6" t="n">
        <v>35</v>
      </c>
      <c r="F16" s="6" t="n">
        <v>44</v>
      </c>
      <c r="G16" s="6" t="n">
        <v>52</v>
      </c>
      <c r="H16" s="6" t="n">
        <v>58</v>
      </c>
      <c r="I16" s="6" t="n">
        <v>74</v>
      </c>
      <c r="J16" s="6" t="n">
        <v>69</v>
      </c>
      <c r="K16" s="6" t="n">
        <v>40</v>
      </c>
      <c r="L16" s="6" t="n">
        <v>36</v>
      </c>
      <c r="M16" s="6" t="n">
        <v>39</v>
      </c>
      <c r="N16" s="6" t="n">
        <v>41</v>
      </c>
    </row>
    <row r="17" customFormat="false" ht="15" hidden="false" customHeight="false" outlineLevel="0" collapsed="false">
      <c r="A17" s="5" t="s">
        <v>60</v>
      </c>
      <c r="B17" s="5" t="s">
        <v>298</v>
      </c>
      <c r="C17" s="6" t="n">
        <v>2</v>
      </c>
      <c r="D17" s="6" t="n">
        <v>3</v>
      </c>
      <c r="E17" s="6" t="n">
        <v>1</v>
      </c>
      <c r="F17" s="6" t="n">
        <v>2</v>
      </c>
      <c r="G17" s="6" t="n">
        <v>2</v>
      </c>
      <c r="H17" s="6" t="n">
        <v>1</v>
      </c>
      <c r="I17" s="6" t="n">
        <v>0</v>
      </c>
      <c r="J17" s="6" t="n">
        <v>0</v>
      </c>
      <c r="K17" s="6" t="n">
        <v>3</v>
      </c>
      <c r="L17" s="6" t="n">
        <v>2</v>
      </c>
      <c r="M17" s="6" t="n">
        <v>2</v>
      </c>
      <c r="N17" s="6" t="n">
        <v>1</v>
      </c>
    </row>
    <row r="18" customFormat="false" ht="15" hidden="false" customHeight="false" outlineLevel="0" collapsed="false">
      <c r="A18" s="5" t="s">
        <v>299</v>
      </c>
      <c r="B18" s="5" t="s">
        <v>300</v>
      </c>
      <c r="C18" s="6" t="n">
        <v>2</v>
      </c>
      <c r="D18" s="6" t="n">
        <v>2</v>
      </c>
      <c r="E18" s="6" t="n">
        <v>1</v>
      </c>
      <c r="F18" s="6" t="n">
        <v>0</v>
      </c>
      <c r="G18" s="6" t="n">
        <v>1</v>
      </c>
      <c r="H18" s="6" t="n">
        <v>1</v>
      </c>
      <c r="I18" s="6" t="n">
        <v>1</v>
      </c>
      <c r="J18" s="6" t="n">
        <v>0</v>
      </c>
      <c r="K18" s="6" t="n">
        <v>2</v>
      </c>
      <c r="L18" s="6" t="n">
        <v>1</v>
      </c>
      <c r="M18" s="6" t="n">
        <v>1</v>
      </c>
      <c r="N18" s="6" t="n">
        <v>1</v>
      </c>
    </row>
    <row r="20" customFormat="false" ht="21.75" hidden="false" customHeight="true" outlineLevel="0" collapsed="false">
      <c r="A20" s="4" t="s">
        <v>301</v>
      </c>
      <c r="B20" s="4"/>
      <c r="C20" s="4"/>
      <c r="D20" s="4"/>
      <c r="E20" s="4"/>
      <c r="F20" s="4"/>
      <c r="G20" s="4"/>
      <c r="H20" s="4"/>
    </row>
    <row r="21" customFormat="false" ht="21.75" hidden="false" customHeight="true" outlineLevel="0" collapsed="false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</row>
    <row r="22" customFormat="false" ht="15" hidden="false" customHeight="false" outlineLevel="0" collapsed="false">
      <c r="A22" s="5" t="s">
        <v>310</v>
      </c>
      <c r="B22" s="23" t="n">
        <v>8</v>
      </c>
      <c r="C22" s="23" t="s">
        <v>311</v>
      </c>
      <c r="D22" s="23" t="s">
        <v>312</v>
      </c>
      <c r="E22" s="23" t="s">
        <v>312</v>
      </c>
      <c r="F22" s="23" t="s">
        <v>312</v>
      </c>
      <c r="G22" s="23" t="s">
        <v>312</v>
      </c>
      <c r="H22" s="5" t="s">
        <v>313</v>
      </c>
    </row>
    <row r="23" customFormat="false" ht="15" hidden="false" customHeight="false" outlineLevel="0" collapsed="false">
      <c r="A23" s="5" t="s">
        <v>314</v>
      </c>
      <c r="B23" s="23" t="n">
        <v>8</v>
      </c>
      <c r="C23" s="23" t="s">
        <v>315</v>
      </c>
      <c r="D23" s="23" t="s">
        <v>312</v>
      </c>
      <c r="E23" s="23" t="s">
        <v>312</v>
      </c>
      <c r="F23" s="23" t="s">
        <v>312</v>
      </c>
      <c r="G23" s="23" t="s">
        <v>316</v>
      </c>
      <c r="H23" s="5" t="s">
        <v>317</v>
      </c>
    </row>
    <row r="24" customFormat="false" ht="15" hidden="false" customHeight="false" outlineLevel="0" collapsed="false">
      <c r="A24" s="5" t="s">
        <v>318</v>
      </c>
      <c r="B24" s="23" t="n">
        <v>8</v>
      </c>
      <c r="C24" s="23" t="s">
        <v>319</v>
      </c>
      <c r="D24" s="23" t="s">
        <v>316</v>
      </c>
      <c r="E24" s="23" t="s">
        <v>28</v>
      </c>
      <c r="F24" s="23" t="s">
        <v>28</v>
      </c>
      <c r="G24" s="23" t="s">
        <v>28</v>
      </c>
      <c r="H24" s="5" t="s">
        <v>320</v>
      </c>
    </row>
    <row r="25" customFormat="false" ht="15" hidden="false" customHeight="false" outlineLevel="0" collapsed="false">
      <c r="A25" s="5" t="s">
        <v>321</v>
      </c>
      <c r="B25" s="23" t="n">
        <v>5</v>
      </c>
      <c r="C25" s="23" t="s">
        <v>319</v>
      </c>
      <c r="D25" s="23" t="s">
        <v>316</v>
      </c>
      <c r="E25" s="23" t="s">
        <v>28</v>
      </c>
      <c r="F25" s="23" t="s">
        <v>28</v>
      </c>
      <c r="G25" s="23" t="s">
        <v>28</v>
      </c>
      <c r="H25" s="5" t="s">
        <v>320</v>
      </c>
    </row>
    <row r="26" customFormat="false" ht="15" hidden="false" customHeight="false" outlineLevel="0" collapsed="false">
      <c r="A26" s="5" t="s">
        <v>322</v>
      </c>
      <c r="B26" s="23" t="n">
        <v>2</v>
      </c>
      <c r="C26" s="23" t="s">
        <v>323</v>
      </c>
      <c r="D26" s="23" t="s">
        <v>28</v>
      </c>
      <c r="E26" s="23" t="s">
        <v>28</v>
      </c>
      <c r="F26" s="23" t="s">
        <v>28</v>
      </c>
      <c r="G26" s="23" t="s">
        <v>28</v>
      </c>
      <c r="H26" s="5" t="s">
        <v>324</v>
      </c>
    </row>
    <row r="27" customFormat="false" ht="15" hidden="false" customHeight="false" outlineLevel="0" collapsed="false">
      <c r="A27" s="5" t="s">
        <v>325</v>
      </c>
      <c r="B27" s="23" t="n">
        <v>18</v>
      </c>
      <c r="C27" s="23" t="s">
        <v>319</v>
      </c>
      <c r="D27" s="23" t="s">
        <v>316</v>
      </c>
      <c r="E27" s="23" t="s">
        <v>28</v>
      </c>
      <c r="F27" s="23" t="s">
        <v>28</v>
      </c>
      <c r="G27" s="23" t="s">
        <v>28</v>
      </c>
      <c r="H27" s="5" t="s">
        <v>320</v>
      </c>
    </row>
    <row r="28" customFormat="false" ht="15" hidden="false" customHeight="false" outlineLevel="0" collapsed="false">
      <c r="A28" s="5" t="s">
        <v>326</v>
      </c>
      <c r="B28" s="23" t="n">
        <v>2</v>
      </c>
      <c r="C28" s="23" t="s">
        <v>315</v>
      </c>
      <c r="D28" s="23" t="s">
        <v>28</v>
      </c>
      <c r="E28" s="23" t="s">
        <v>327</v>
      </c>
      <c r="F28" s="23" t="s">
        <v>316</v>
      </c>
      <c r="G28" s="23" t="s">
        <v>28</v>
      </c>
      <c r="H28" s="5" t="s">
        <v>328</v>
      </c>
    </row>
    <row r="29" customFormat="false" ht="15" hidden="false" customHeight="false" outlineLevel="0" collapsed="false">
      <c r="A29" s="5" t="s">
        <v>329</v>
      </c>
      <c r="B29" s="23" t="n">
        <v>18</v>
      </c>
      <c r="C29" s="23" t="s">
        <v>319</v>
      </c>
      <c r="D29" s="23" t="s">
        <v>316</v>
      </c>
      <c r="E29" s="23" t="s">
        <v>28</v>
      </c>
      <c r="F29" s="23" t="s">
        <v>28</v>
      </c>
      <c r="G29" s="23" t="s">
        <v>316</v>
      </c>
      <c r="H29" s="5" t="s">
        <v>320</v>
      </c>
    </row>
    <row r="30" customFormat="false" ht="15" hidden="false" customHeight="false" outlineLevel="0" collapsed="false">
      <c r="A30" s="5" t="s">
        <v>330</v>
      </c>
      <c r="B30" s="23" t="n">
        <v>18</v>
      </c>
      <c r="C30" s="23" t="s">
        <v>319</v>
      </c>
      <c r="D30" s="23" t="s">
        <v>28</v>
      </c>
      <c r="E30" s="23" t="s">
        <v>316</v>
      </c>
      <c r="F30" s="23" t="s">
        <v>28</v>
      </c>
      <c r="G30" s="23" t="s">
        <v>28</v>
      </c>
      <c r="H30" s="5" t="s">
        <v>320</v>
      </c>
    </row>
    <row r="32" customFormat="false" ht="21.75" hidden="false" customHeight="true" outlineLevel="0" collapsed="false">
      <c r="A32" s="4" t="s">
        <v>331</v>
      </c>
      <c r="B32" s="4"/>
      <c r="C32" s="4"/>
      <c r="D32" s="4"/>
      <c r="E32" s="4"/>
      <c r="F32" s="4"/>
      <c r="G32" s="4"/>
      <c r="H32" s="4"/>
    </row>
    <row r="33" customFormat="false" ht="21.75" hidden="false" customHeight="true" outlineLevel="0" collapsed="false">
      <c r="A33" s="4" t="s">
        <v>332</v>
      </c>
      <c r="B33" s="4" t="s">
        <v>333</v>
      </c>
      <c r="C33" s="4" t="s">
        <v>334</v>
      </c>
      <c r="D33" s="4" t="s">
        <v>335</v>
      </c>
      <c r="E33" s="4" t="s">
        <v>336</v>
      </c>
      <c r="F33" s="4" t="s">
        <v>337</v>
      </c>
      <c r="G33" s="4" t="s">
        <v>338</v>
      </c>
      <c r="H33" s="4" t="s">
        <v>339</v>
      </c>
    </row>
    <row r="34" customFormat="false" ht="15" hidden="false" customHeight="false" outlineLevel="0" collapsed="false">
      <c r="A34" s="23" t="s">
        <v>340</v>
      </c>
      <c r="B34" s="5" t="s">
        <v>341</v>
      </c>
      <c r="C34" s="5" t="s">
        <v>342</v>
      </c>
      <c r="D34" s="5" t="s">
        <v>343</v>
      </c>
      <c r="E34" s="5" t="s">
        <v>344</v>
      </c>
      <c r="F34" s="5" t="s">
        <v>345</v>
      </c>
      <c r="G34" s="23" t="s">
        <v>346</v>
      </c>
      <c r="H34" s="23" t="s">
        <v>347</v>
      </c>
    </row>
    <row r="35" customFormat="false" ht="15" hidden="false" customHeight="false" outlineLevel="0" collapsed="false">
      <c r="A35" s="23" t="s">
        <v>348</v>
      </c>
      <c r="B35" s="5" t="s">
        <v>349</v>
      </c>
      <c r="C35" s="5" t="s">
        <v>350</v>
      </c>
      <c r="D35" s="5" t="s">
        <v>351</v>
      </c>
      <c r="E35" s="5" t="s">
        <v>352</v>
      </c>
      <c r="F35" s="5" t="s">
        <v>353</v>
      </c>
      <c r="G35" s="23" t="s">
        <v>346</v>
      </c>
      <c r="H35" s="23" t="s">
        <v>354</v>
      </c>
    </row>
    <row r="36" customFormat="false" ht="15" hidden="false" customHeight="false" outlineLevel="0" collapsed="false">
      <c r="A36" s="23" t="s">
        <v>355</v>
      </c>
      <c r="B36" s="5" t="s">
        <v>356</v>
      </c>
      <c r="C36" s="5" t="s">
        <v>357</v>
      </c>
      <c r="D36" s="5" t="s">
        <v>358</v>
      </c>
      <c r="E36" s="5" t="s">
        <v>359</v>
      </c>
      <c r="F36" s="5" t="s">
        <v>360</v>
      </c>
      <c r="G36" s="23" t="s">
        <v>346</v>
      </c>
      <c r="H36" s="23" t="s">
        <v>361</v>
      </c>
    </row>
    <row r="37" customFormat="false" ht="15" hidden="false" customHeight="false" outlineLevel="0" collapsed="false">
      <c r="A37" s="23" t="s">
        <v>362</v>
      </c>
      <c r="B37" s="5" t="s">
        <v>363</v>
      </c>
      <c r="C37" s="5" t="s">
        <v>28</v>
      </c>
      <c r="D37" s="5" t="s">
        <v>364</v>
      </c>
      <c r="E37" s="5" t="s">
        <v>365</v>
      </c>
      <c r="F37" s="5" t="s">
        <v>366</v>
      </c>
      <c r="G37" s="23" t="s">
        <v>346</v>
      </c>
      <c r="H37" s="23" t="s">
        <v>367</v>
      </c>
    </row>
    <row r="38" customFormat="false" ht="15" hidden="false" customHeight="false" outlineLevel="0" collapsed="false">
      <c r="A38" s="23" t="s">
        <v>368</v>
      </c>
      <c r="B38" s="5" t="s">
        <v>369</v>
      </c>
      <c r="C38" s="5" t="s">
        <v>370</v>
      </c>
      <c r="D38" s="5" t="s">
        <v>371</v>
      </c>
      <c r="E38" s="5" t="s">
        <v>372</v>
      </c>
      <c r="F38" s="5" t="s">
        <v>373</v>
      </c>
      <c r="G38" s="23" t="s">
        <v>346</v>
      </c>
      <c r="H38" s="23" t="s">
        <v>374</v>
      </c>
    </row>
    <row r="39" customFormat="false" ht="15" hidden="false" customHeight="false" outlineLevel="0" collapsed="false">
      <c r="A39" s="23" t="s">
        <v>375</v>
      </c>
      <c r="B39" s="5" t="s">
        <v>376</v>
      </c>
      <c r="C39" s="5" t="s">
        <v>342</v>
      </c>
      <c r="D39" s="5" t="s">
        <v>377</v>
      </c>
      <c r="E39" s="5" t="s">
        <v>344</v>
      </c>
      <c r="F39" s="5" t="s">
        <v>378</v>
      </c>
      <c r="G39" s="23" t="s">
        <v>346</v>
      </c>
      <c r="H39" s="23" t="s">
        <v>379</v>
      </c>
    </row>
    <row r="40" customFormat="false" ht="15" hidden="false" customHeight="false" outlineLevel="0" collapsed="false">
      <c r="A40" s="23" t="s">
        <v>380</v>
      </c>
      <c r="B40" s="5" t="s">
        <v>381</v>
      </c>
      <c r="C40" s="5" t="s">
        <v>382</v>
      </c>
      <c r="D40" s="5" t="s">
        <v>383</v>
      </c>
      <c r="E40" s="5" t="s">
        <v>384</v>
      </c>
      <c r="F40" s="5" t="s">
        <v>385</v>
      </c>
      <c r="G40" s="23" t="s">
        <v>346</v>
      </c>
      <c r="H40" s="23" t="s">
        <v>386</v>
      </c>
    </row>
    <row r="41" customFormat="false" ht="15" hidden="false" customHeight="false" outlineLevel="0" collapsed="false">
      <c r="A41" s="23" t="s">
        <v>387</v>
      </c>
      <c r="B41" s="5" t="s">
        <v>388</v>
      </c>
      <c r="C41" s="5" t="s">
        <v>389</v>
      </c>
      <c r="D41" s="5" t="s">
        <v>390</v>
      </c>
      <c r="E41" s="5" t="s">
        <v>391</v>
      </c>
      <c r="F41" s="5" t="s">
        <v>392</v>
      </c>
      <c r="G41" s="23" t="s">
        <v>346</v>
      </c>
      <c r="H41" s="23" t="s">
        <v>393</v>
      </c>
    </row>
    <row r="42" customFormat="false" ht="15" hidden="false" customHeight="false" outlineLevel="0" collapsed="false">
      <c r="A42" s="23" t="s">
        <v>394</v>
      </c>
      <c r="B42" s="5" t="s">
        <v>395</v>
      </c>
      <c r="C42" s="5" t="s">
        <v>396</v>
      </c>
      <c r="D42" s="5" t="s">
        <v>397</v>
      </c>
      <c r="E42" s="5" t="s">
        <v>398</v>
      </c>
      <c r="F42" s="5" t="s">
        <v>399</v>
      </c>
      <c r="G42" s="23" t="s">
        <v>346</v>
      </c>
      <c r="H42" s="23" t="s">
        <v>400</v>
      </c>
    </row>
    <row r="43" customFormat="false" ht="23.85" hidden="false" customHeight="false" outlineLevel="0" collapsed="false">
      <c r="A43" s="23" t="s">
        <v>401</v>
      </c>
      <c r="B43" s="5" t="s">
        <v>349</v>
      </c>
      <c r="C43" s="5" t="s">
        <v>402</v>
      </c>
      <c r="D43" s="5" t="s">
        <v>364</v>
      </c>
      <c r="E43" s="5" t="s">
        <v>403</v>
      </c>
      <c r="F43" s="5" t="s">
        <v>404</v>
      </c>
      <c r="G43" s="23" t="s">
        <v>346</v>
      </c>
      <c r="H43" s="23" t="s">
        <v>405</v>
      </c>
    </row>
    <row r="44" customFormat="false" ht="15" hidden="false" customHeight="false" outlineLevel="0" collapsed="false">
      <c r="A44" s="23" t="s">
        <v>406</v>
      </c>
      <c r="B44" s="5" t="s">
        <v>407</v>
      </c>
      <c r="C44" s="5" t="s">
        <v>408</v>
      </c>
      <c r="D44" s="5" t="s">
        <v>371</v>
      </c>
      <c r="E44" s="5" t="s">
        <v>409</v>
      </c>
      <c r="F44" s="5" t="s">
        <v>410</v>
      </c>
      <c r="G44" s="23" t="s">
        <v>346</v>
      </c>
      <c r="H44" s="23" t="s">
        <v>411</v>
      </c>
    </row>
    <row r="45" customFormat="false" ht="15" hidden="false" customHeight="false" outlineLevel="0" collapsed="false">
      <c r="A45" s="23" t="s">
        <v>412</v>
      </c>
      <c r="B45" s="5" t="s">
        <v>413</v>
      </c>
      <c r="C45" s="5" t="s">
        <v>414</v>
      </c>
      <c r="D45" s="5" t="s">
        <v>397</v>
      </c>
      <c r="E45" s="5" t="s">
        <v>415</v>
      </c>
      <c r="F45" s="5" t="s">
        <v>416</v>
      </c>
      <c r="G45" s="23" t="s">
        <v>346</v>
      </c>
      <c r="H45" s="23" t="s">
        <v>417</v>
      </c>
    </row>
    <row r="46" customFormat="false" ht="15" hidden="false" customHeight="false" outlineLevel="0" collapsed="false">
      <c r="A46" s="23" t="s">
        <v>418</v>
      </c>
      <c r="B46" s="5" t="s">
        <v>356</v>
      </c>
      <c r="C46" s="5" t="s">
        <v>350</v>
      </c>
      <c r="D46" s="5" t="s">
        <v>383</v>
      </c>
      <c r="E46" s="5" t="s">
        <v>344</v>
      </c>
      <c r="F46" s="5" t="s">
        <v>419</v>
      </c>
      <c r="G46" s="23" t="s">
        <v>346</v>
      </c>
      <c r="H46" s="23" t="s">
        <v>420</v>
      </c>
    </row>
  </sheetData>
  <mergeCells count="5">
    <mergeCell ref="A1:N1"/>
    <mergeCell ref="A3:N3"/>
    <mergeCell ref="A12:N12"/>
    <mergeCell ref="A20:H20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2026-10-14T13:10:21Z</dcterms:created>
  <dc:creator>openpyxl</dc:creator>
  <dc:description/>
  <dc:language>en-US</dc:language>
  <cp:lastModifiedBy/>
  <dcterms:modified xsi:type="dcterms:W3CDTF">2026-10-14T13:10:21Z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