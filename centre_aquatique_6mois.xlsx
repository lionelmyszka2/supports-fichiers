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onelmyszka/Desktop/"/>
    </mc:Choice>
  </mc:AlternateContent>
  <xr:revisionPtr revIDLastSave="0" documentId="13_ncr:1_{059D299F-0A01-5C4E-81B8-B5144BE25EFD}" xr6:coauthVersionLast="47" xr6:coauthVersionMax="47" xr10:uidLastSave="{00000000-0000-0000-0000-000000000000}"/>
  <bookViews>
    <workbookView xWindow="0" yWindow="600" windowWidth="34860" windowHeight="25880" tabRatio="500" xr2:uid="{00000000-000D-0000-FFFF-FFFF00000000}"/>
  </bookViews>
  <sheets>
    <sheet name="Tableau de Bord" sheetId="1" r:id="rId1"/>
    <sheet name="Fréquentation" sheetId="2" r:id="rId2"/>
    <sheet name="Qualité Eau" sheetId="3" r:id="rId3"/>
    <sheet name="Finances" sheetId="4" r:id="rId4"/>
    <sheet name="RH &amp; Sécurité" sheetId="5" r:id="rId5"/>
    <sheet name="Énergi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5" l="1"/>
  <c r="C10" i="5"/>
  <c r="D10" i="5"/>
  <c r="E10" i="5"/>
  <c r="F10" i="5"/>
  <c r="G10" i="5"/>
  <c r="H10" i="5"/>
  <c r="B37" i="3"/>
  <c r="C37" i="3"/>
  <c r="D37" i="3"/>
  <c r="E37" i="3"/>
  <c r="F37" i="3"/>
  <c r="H37" i="3"/>
  <c r="H6" i="1"/>
  <c r="I6" i="1"/>
  <c r="H7" i="1"/>
  <c r="I7" i="1"/>
  <c r="H8" i="1"/>
  <c r="I8" i="1"/>
  <c r="H9" i="1"/>
  <c r="I9" i="1"/>
  <c r="H10" i="1"/>
  <c r="I10" i="1"/>
  <c r="H11" i="1"/>
  <c r="I11" i="1"/>
  <c r="H15" i="1"/>
  <c r="I15" i="1"/>
  <c r="H16" i="1"/>
  <c r="I16" i="1"/>
  <c r="H17" i="1"/>
  <c r="I17" i="1"/>
  <c r="H18" i="1"/>
  <c r="I18" i="1"/>
  <c r="H19" i="1"/>
  <c r="I19" i="1"/>
  <c r="H20" i="1"/>
  <c r="I20" i="1"/>
  <c r="B21" i="1"/>
  <c r="C21" i="1"/>
  <c r="D21" i="1"/>
  <c r="E21" i="1"/>
  <c r="F21" i="1"/>
  <c r="G21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B32" i="1"/>
  <c r="I32" i="1" s="1"/>
  <c r="C32" i="1"/>
  <c r="C33" i="1" s="1"/>
  <c r="D32" i="1"/>
  <c r="D33" i="1" s="1"/>
  <c r="E32" i="1"/>
  <c r="E33" i="1" s="1"/>
  <c r="F32" i="1"/>
  <c r="F33" i="1" s="1"/>
  <c r="G32" i="1"/>
  <c r="G33" i="1" s="1"/>
  <c r="H32" i="1"/>
  <c r="H33" i="1" s="1"/>
  <c r="H37" i="1"/>
  <c r="H38" i="1"/>
  <c r="H39" i="1"/>
  <c r="H40" i="1"/>
  <c r="H41" i="1"/>
  <c r="H42" i="1"/>
  <c r="H46" i="1"/>
  <c r="H47" i="1"/>
  <c r="H48" i="1"/>
  <c r="H49" i="1"/>
  <c r="H53" i="1"/>
  <c r="I53" i="1"/>
  <c r="H54" i="1"/>
  <c r="I54" i="1"/>
  <c r="H55" i="1"/>
  <c r="I55" i="1"/>
  <c r="H56" i="1"/>
  <c r="I56" i="1"/>
  <c r="H57" i="1"/>
  <c r="I57" i="1"/>
  <c r="H58" i="1"/>
  <c r="I58" i="1"/>
  <c r="B59" i="1"/>
  <c r="I59" i="1" s="1"/>
  <c r="C59" i="1"/>
  <c r="D59" i="1"/>
  <c r="E59" i="1"/>
  <c r="F59" i="1"/>
  <c r="G59" i="1"/>
  <c r="G29" i="6"/>
  <c r="F29" i="6"/>
  <c r="E29" i="6"/>
  <c r="D29" i="6"/>
  <c r="C29" i="6"/>
  <c r="B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29" i="6" s="1"/>
  <c r="H27" i="4"/>
  <c r="G27" i="4"/>
  <c r="F27" i="4"/>
  <c r="E27" i="4"/>
  <c r="D27" i="4"/>
  <c r="C27" i="4"/>
  <c r="B27" i="4"/>
  <c r="H25" i="4"/>
  <c r="G25" i="4"/>
  <c r="F25" i="4"/>
  <c r="E25" i="4"/>
  <c r="D25" i="4"/>
  <c r="C25" i="4"/>
  <c r="B25" i="4"/>
  <c r="I24" i="4"/>
  <c r="I23" i="4"/>
  <c r="I22" i="4"/>
  <c r="I21" i="4"/>
  <c r="I20" i="4"/>
  <c r="I19" i="4"/>
  <c r="I18" i="4"/>
  <c r="I17" i="4"/>
  <c r="I16" i="4"/>
  <c r="I15" i="4"/>
  <c r="I25" i="4" s="1"/>
  <c r="I11" i="4"/>
  <c r="I27" i="4" s="1"/>
  <c r="H11" i="4"/>
  <c r="G11" i="4"/>
  <c r="F11" i="4"/>
  <c r="E11" i="4"/>
  <c r="D11" i="4"/>
  <c r="C11" i="4"/>
  <c r="B11" i="4"/>
  <c r="I10" i="4"/>
  <c r="I9" i="4"/>
  <c r="I8" i="4"/>
  <c r="I7" i="4"/>
  <c r="I6" i="4"/>
  <c r="I5" i="4"/>
  <c r="H49" i="2"/>
  <c r="F49" i="2"/>
  <c r="E49" i="2"/>
  <c r="D49" i="2"/>
  <c r="C49" i="2"/>
  <c r="B49" i="2"/>
  <c r="G48" i="2"/>
  <c r="G47" i="2"/>
  <c r="G49" i="2" s="1"/>
  <c r="G46" i="2"/>
  <c r="G45" i="2"/>
  <c r="H41" i="2"/>
  <c r="F41" i="2"/>
  <c r="E41" i="2"/>
  <c r="D41" i="2"/>
  <c r="C41" i="2"/>
  <c r="B41" i="2"/>
  <c r="G40" i="2"/>
  <c r="G41" i="2" s="1"/>
  <c r="G39" i="2"/>
  <c r="G38" i="2"/>
  <c r="G37" i="2"/>
  <c r="H33" i="2"/>
  <c r="F33" i="2"/>
  <c r="E33" i="2"/>
  <c r="D33" i="2"/>
  <c r="C33" i="2"/>
  <c r="B33" i="2"/>
  <c r="G32" i="2"/>
  <c r="G31" i="2"/>
  <c r="G30" i="2"/>
  <c r="G29" i="2"/>
  <c r="G33" i="2" s="1"/>
  <c r="H25" i="2"/>
  <c r="F25" i="2"/>
  <c r="E25" i="2"/>
  <c r="D25" i="2"/>
  <c r="C25" i="2"/>
  <c r="B25" i="2"/>
  <c r="G24" i="2"/>
  <c r="G25" i="2" s="1"/>
  <c r="G23" i="2"/>
  <c r="G22" i="2"/>
  <c r="G21" i="2"/>
  <c r="H17" i="2"/>
  <c r="F17" i="2"/>
  <c r="E17" i="2"/>
  <c r="D17" i="2"/>
  <c r="C17" i="2"/>
  <c r="B17" i="2"/>
  <c r="G16" i="2"/>
  <c r="G15" i="2"/>
  <c r="G14" i="2"/>
  <c r="G13" i="2"/>
  <c r="G17" i="2" s="1"/>
  <c r="H9" i="2"/>
  <c r="F9" i="2"/>
  <c r="E9" i="2"/>
  <c r="D9" i="2"/>
  <c r="C9" i="2"/>
  <c r="B9" i="2"/>
  <c r="G8" i="2"/>
  <c r="G7" i="2"/>
  <c r="G6" i="2"/>
  <c r="G5" i="2"/>
  <c r="G9" i="2" s="1"/>
  <c r="H59" i="1" l="1"/>
  <c r="B33" i="1"/>
  <c r="I33" i="1" s="1"/>
</calcChain>
</file>

<file path=xl/sharedStrings.xml><?xml version="1.0" encoding="utf-8"?>
<sst xmlns="http://schemas.openxmlformats.org/spreadsheetml/2006/main" count="580" uniqueCount="323">
  <si>
    <t>Données fictives – Janvier à Juin 2025  |  S1 = Semestre 1</t>
  </si>
  <si>
    <t>FRÉQUENTATION</t>
  </si>
  <si>
    <t>Indicateur</t>
  </si>
  <si>
    <t>Janvier</t>
  </si>
  <si>
    <t>Février</t>
  </si>
  <si>
    <t>Mars</t>
  </si>
  <si>
    <t>Avril</t>
  </si>
  <si>
    <t>Mai</t>
  </si>
  <si>
    <t>Juin</t>
  </si>
  <si>
    <t>Total S1</t>
  </si>
  <si>
    <t>Évol. Jan→Jun</t>
  </si>
  <si>
    <t>Entrées totales</t>
  </si>
  <si>
    <t xml:space="preserve">  dont Adultes</t>
  </si>
  <si>
    <t xml:space="preserve">  dont Enfants</t>
  </si>
  <si>
    <t xml:space="preserve">  dont Scolaires</t>
  </si>
  <si>
    <t>Abonnés actifs (moy)</t>
  </si>
  <si>
    <t>Taux d'occupation (moy)</t>
  </si>
  <si>
    <t>FINANCES (€)</t>
  </si>
  <si>
    <t>Recettes Billetterie</t>
  </si>
  <si>
    <t>Recettes Abonnements</t>
  </si>
  <si>
    <t>Recettes Cours</t>
  </si>
  <si>
    <t>Recettes Location</t>
  </si>
  <si>
    <t>Recettes Restauration</t>
  </si>
  <si>
    <t>Recettes Autres</t>
  </si>
  <si>
    <t>TOTAL RECETTES</t>
  </si>
  <si>
    <t>Charges Personnel</t>
  </si>
  <si>
    <t>Charges Patronales</t>
  </si>
  <si>
    <t>Charges Électricité</t>
  </si>
  <si>
    <t>Charges Gaz</t>
  </si>
  <si>
    <t>Charges Eau</t>
  </si>
  <si>
    <t>Charges Produits Chim.</t>
  </si>
  <si>
    <t>Charges Maint. Préventive</t>
  </si>
  <si>
    <t>Charges Maint. Corrective</t>
  </si>
  <si>
    <t>Charges Assurances</t>
  </si>
  <si>
    <t>Charges Autres</t>
  </si>
  <si>
    <t>TOTAL CHARGES</t>
  </si>
  <si>
    <t>RÉSULTAT D'EXPLOITATION</t>
  </si>
  <si>
    <t>QUALITÉ DE L'EAU &amp; HYGIÈNE (moyennes mensuelles)</t>
  </si>
  <si>
    <t>pH (cible 7.2–7.6)</t>
  </si>
  <si>
    <t>Chlore libre mg/L</t>
  </si>
  <si>
    <t>Température bassin (°C)</t>
  </si>
  <si>
    <t>Turbidité NTU (&lt; 0.5)</t>
  </si>
  <si>
    <t>Trichloramines mg/L (&lt; 0.3)</t>
  </si>
  <si>
    <t>Non-conformités (nb)</t>
  </si>
  <si>
    <t>RESSOURCES HUMAINES &amp; SÉCURITÉ</t>
  </si>
  <si>
    <t>Jours d'absence</t>
  </si>
  <si>
    <t>Taux d'absentéisme</t>
  </si>
  <si>
    <t>Formations réalisées</t>
  </si>
  <si>
    <t>Accidents / Incidents</t>
  </si>
  <si>
    <t>ÉNERGIE &amp; ENVIRONNEMENT</t>
  </si>
  <si>
    <t>Électricité (kWh)</t>
  </si>
  <si>
    <t>Gaz (m³)</t>
  </si>
  <si>
    <t>Eau (m³)</t>
  </si>
  <si>
    <t>Coût Électricité (€)</t>
  </si>
  <si>
    <t>Coût Gaz (€)</t>
  </si>
  <si>
    <t>Coût Eau (€)</t>
  </si>
  <si>
    <t>COÛT TOTAL ÉNERGIE (€)</t>
  </si>
  <si>
    <t>FRÉQUENTATION DÉTAILLÉE – JANVIER À JUIN 2025 (24 semaines)</t>
  </si>
  <si>
    <t>JANVIER 2025</t>
  </si>
  <si>
    <t>Semaine</t>
  </si>
  <si>
    <t>Adultes</t>
  </si>
  <si>
    <t>Enfants</t>
  </si>
  <si>
    <t>Scolaires</t>
  </si>
  <si>
    <t>Abonnés</t>
  </si>
  <si>
    <t>Occasionnels</t>
  </si>
  <si>
    <t>Total Entrées</t>
  </si>
  <si>
    <t>Taux Occ.</t>
  </si>
  <si>
    <t>Janv. S1 (06-12 jan)</t>
  </si>
  <si>
    <t>Janv. S2 (13-19 jan)</t>
  </si>
  <si>
    <t>Janv. S3 (20-26 jan)</t>
  </si>
  <si>
    <t>Janv. S4 (27-31 jan)</t>
  </si>
  <si>
    <t>TOTAL JANVIER</t>
  </si>
  <si>
    <t>FÉVRIER 2025</t>
  </si>
  <si>
    <t>Fév.  S1 (03-09 fév)</t>
  </si>
  <si>
    <t>Fév.  S2 (10-16 fév)</t>
  </si>
  <si>
    <t>Fév.  S3 (17-23 fév)</t>
  </si>
  <si>
    <t>Fév.  S4 (24-28 fév)</t>
  </si>
  <si>
    <t>TOTAL FÉVRIER</t>
  </si>
  <si>
    <t>MARS 2025</t>
  </si>
  <si>
    <t>Mars  S1 (03-09 mar)</t>
  </si>
  <si>
    <t>Mars  S2 (10-16 mar)</t>
  </si>
  <si>
    <t>Mars  S3 (17-23 mar)</t>
  </si>
  <si>
    <t>Mars  S4 (24-31 mar)</t>
  </si>
  <si>
    <t>TOTAL MARS</t>
  </si>
  <si>
    <t>AVRIL 2025</t>
  </si>
  <si>
    <t>Avr.  S1 (07-13 avr)</t>
  </si>
  <si>
    <t>Avr.  S2 (14-20 avr)</t>
  </si>
  <si>
    <t>Avr.  S3 (21-27 avr)</t>
  </si>
  <si>
    <t>Avr.  S4 (28-30 avr)</t>
  </si>
  <si>
    <t>TOTAL AVRIL</t>
  </si>
  <si>
    <t>MAI 2025</t>
  </si>
  <si>
    <t>Mai   S1 (05-11 mai)</t>
  </si>
  <si>
    <t>Mai   S2 (12-18 mai)</t>
  </si>
  <si>
    <t>Mai   S3 (19-25 mai)</t>
  </si>
  <si>
    <t>Mai   S4 (26-31 mai)</t>
  </si>
  <si>
    <t>TOTAL MAI</t>
  </si>
  <si>
    <t>JUIN 2025</t>
  </si>
  <si>
    <t>Juin  S1 (02-08 jun)</t>
  </si>
  <si>
    <t>Juin  S2 (09-15 jun)</t>
  </si>
  <si>
    <t>Juin  S3 (16-22 jun)</t>
  </si>
  <si>
    <t>Juin  S4 (23-30 jun)</t>
  </si>
  <si>
    <t>TOTAL JUIN</t>
  </si>
  <si>
    <t>SUIVI QUALITÉ DE L'EAU – JANVIER À JUIN 2025 (24 semaines)</t>
  </si>
  <si>
    <t>NORMES RÉGLEMENTAIRES</t>
  </si>
  <si>
    <t>Paramètre</t>
  </si>
  <si>
    <t>Valeur réglementaire</t>
  </si>
  <si>
    <t>pH</t>
  </si>
  <si>
    <t>7.2 – 7.6</t>
  </si>
  <si>
    <t>0.4 – 1.4</t>
  </si>
  <si>
    <t>Température °C</t>
  </si>
  <si>
    <t>26 – 28</t>
  </si>
  <si>
    <t>Turbidité NTU</t>
  </si>
  <si>
    <t>&lt; 0.5</t>
  </si>
  <si>
    <t>Trichloramines mg/L</t>
  </si>
  <si>
    <t>&lt; 0.3</t>
  </si>
  <si>
    <t>RELEVÉS HEBDOMADAIRES – BASSIN PRINCIPAL</t>
  </si>
  <si>
    <t>Chlore libre</t>
  </si>
  <si>
    <t>Temp. (°C)</t>
  </si>
  <si>
    <t>Turbidité</t>
  </si>
  <si>
    <t>Trichloramines</t>
  </si>
  <si>
    <t>Contrôle</t>
  </si>
  <si>
    <t>Non-conf.</t>
  </si>
  <si>
    <t>Commentaire</t>
  </si>
  <si>
    <t>Janv. S1</t>
  </si>
  <si>
    <t>–</t>
  </si>
  <si>
    <t>Janv. S2</t>
  </si>
  <si>
    <t>Janv. S3</t>
  </si>
  <si>
    <t>pH légèrement bas le 22/01, corrigé</t>
  </si>
  <si>
    <t>Janv. S4</t>
  </si>
  <si>
    <t>Fév.  S1</t>
  </si>
  <si>
    <t>Fév.  S2</t>
  </si>
  <si>
    <t>Turbidité 0.48 NTU le 12/02, backwash</t>
  </si>
  <si>
    <t>Fév.  S3</t>
  </si>
  <si>
    <t>Fév.  S4</t>
  </si>
  <si>
    <t>Mars  S1</t>
  </si>
  <si>
    <t>Mars  S2</t>
  </si>
  <si>
    <t>Mars  S3</t>
  </si>
  <si>
    <t>Mars  S4</t>
  </si>
  <si>
    <t>Avr.  S1</t>
  </si>
  <si>
    <t>Légère hausse trichloramines, aération renforcée</t>
  </si>
  <si>
    <t>Avr.  S2</t>
  </si>
  <si>
    <t>Avr.  S3</t>
  </si>
  <si>
    <t>Avr.  S4</t>
  </si>
  <si>
    <t>Mai   S1</t>
  </si>
  <si>
    <t>Mai   S2</t>
  </si>
  <si>
    <t>Mai   S3</t>
  </si>
  <si>
    <t>Mai   S4</t>
  </si>
  <si>
    <t>Juin  S1</t>
  </si>
  <si>
    <t>Juin  S2</t>
  </si>
  <si>
    <t>Juin  S3</t>
  </si>
  <si>
    <t>Juin  S4</t>
  </si>
  <si>
    <t>MOYENNE / TOTAL</t>
  </si>
  <si>
    <t>SUIVI FINANCIER DÉTAILLÉ – JANVIER À JUIN 2025</t>
  </si>
  <si>
    <t>RECETTES</t>
  </si>
  <si>
    <t>Poste</t>
  </si>
  <si>
    <t>Budget mensuel</t>
  </si>
  <si>
    <t>Billetterie</t>
  </si>
  <si>
    <t>Abonnements</t>
  </si>
  <si>
    <t>Cours collectifs</t>
  </si>
  <si>
    <t>Location matériel</t>
  </si>
  <si>
    <t>Restauration</t>
  </si>
  <si>
    <t>Autres</t>
  </si>
  <si>
    <t>CHARGES</t>
  </si>
  <si>
    <t>Personnel (salaires)</t>
  </si>
  <si>
    <t>Charges patronales</t>
  </si>
  <si>
    <t>Électricité</t>
  </si>
  <si>
    <t>Gaz</t>
  </si>
  <si>
    <t>Eau</t>
  </si>
  <si>
    <t>Produits chimiques</t>
  </si>
  <si>
    <t>Maintenance préventive</t>
  </si>
  <si>
    <t>Maintenance corrective</t>
  </si>
  <si>
    <t>Assurances</t>
  </si>
  <si>
    <t>Autres charges</t>
  </si>
  <si>
    <t>ÉVOLUTION &amp; RATIOS</t>
  </si>
  <si>
    <t>Recettes totales / Baigneur (€)</t>
  </si>
  <si>
    <t>Charges totales / Baigneur (€)</t>
  </si>
  <si>
    <t>Marge brute billetterie (%)</t>
  </si>
  <si>
    <t>RESSOURCES HUMAINES &amp; SÉCURITÉ – JANVIER À JUIN 2025</t>
  </si>
  <si>
    <t>EFFECTIFS PAR POSTE</t>
  </si>
  <si>
    <t>ETP Prévu</t>
  </si>
  <si>
    <t>Janv.</t>
  </si>
  <si>
    <t>Fév.</t>
  </si>
  <si>
    <t>Avr.</t>
  </si>
  <si>
    <t>Maîtres-nageurs</t>
  </si>
  <si>
    <t>Accueil / Caisse</t>
  </si>
  <si>
    <t>Technique / Piscine</t>
  </si>
  <si>
    <t>Nettoyage</t>
  </si>
  <si>
    <t>Direction / Admin.</t>
  </si>
  <si>
    <t>TOTAL ETP</t>
  </si>
  <si>
    <t>SUIVI ABSENTÉISME MENSUEL</t>
  </si>
  <si>
    <t>Budget/Cible</t>
  </si>
  <si>
    <t>&lt; 10 j/mois</t>
  </si>
  <si>
    <t>&lt; 3.0%</t>
  </si>
  <si>
    <t>Heures supp. réalisées</t>
  </si>
  <si>
    <t>≥ 2/mois</t>
  </si>
  <si>
    <t>Accidents / incidents</t>
  </si>
  <si>
    <t>FORMATIONS &amp; HABILITATIONS – SUIVI S1 2025</t>
  </si>
  <si>
    <t>Formation / Habilitation</t>
  </si>
  <si>
    <t>Nb concernés</t>
  </si>
  <si>
    <t>Validité</t>
  </si>
  <si>
    <t>Avr./Mai/Jun</t>
  </si>
  <si>
    <t>Statut</t>
  </si>
  <si>
    <t>BNSSA (Brevet MNS)</t>
  </si>
  <si>
    <t>5 ans</t>
  </si>
  <si>
    <t>À jour</t>
  </si>
  <si>
    <t>PSE1 (Premiers Secours)</t>
  </si>
  <si>
    <t>2 ans</t>
  </si>
  <si>
    <t>Recyclage PSE1</t>
  </si>
  <si>
    <t>Annuel</t>
  </si>
  <si>
    <t>Réalisé</t>
  </si>
  <si>
    <t>Formation POSS</t>
  </si>
  <si>
    <t>Habilitation élec. B1V</t>
  </si>
  <si>
    <t>3 ans</t>
  </si>
  <si>
    <t>Gestes &amp; postures</t>
  </si>
  <si>
    <t>HACCP restauration</t>
  </si>
  <si>
    <t>À planifier</t>
  </si>
  <si>
    <t>Exercice évacuation incendie</t>
  </si>
  <si>
    <t>Sensibilisation DUERP</t>
  </si>
  <si>
    <t>Planifié juin</t>
  </si>
  <si>
    <t>REGISTRE INCIDENTS &amp; ACCIDENTS – S1 2025</t>
  </si>
  <si>
    <t>Date</t>
  </si>
  <si>
    <t>Type d'incident</t>
  </si>
  <si>
    <t>Personnes impliquées</t>
  </si>
  <si>
    <t>Localisation</t>
  </si>
  <si>
    <t>Gravité</t>
  </si>
  <si>
    <t>Actions correctives</t>
  </si>
  <si>
    <t>Clôturé ?</t>
  </si>
  <si>
    <t>Référence</t>
  </si>
  <si>
    <t>15/01/2025</t>
  </si>
  <si>
    <t>Chute bord bassin</t>
  </si>
  <si>
    <t>1 baigneur adulte</t>
  </si>
  <si>
    <t>Plage bassin nage</t>
  </si>
  <si>
    <t>Légère (contusion)</t>
  </si>
  <si>
    <t>Revêtement antidérapant</t>
  </si>
  <si>
    <t>INC-2025-001</t>
  </si>
  <si>
    <t>22/01/2025</t>
  </si>
  <si>
    <t>Malaise baigneur</t>
  </si>
  <si>
    <t>1 baigneur senior</t>
  </si>
  <si>
    <t>Bassin nage</t>
  </si>
  <si>
    <t>Moyenne (MNS intervenu)</t>
  </si>
  <si>
    <t>POSS + formation PSE</t>
  </si>
  <si>
    <t>INC-2025-002</t>
  </si>
  <si>
    <t>Chute vestiaires</t>
  </si>
  <si>
    <t>1 employé ménage</t>
  </si>
  <si>
    <t>Vestiaires femmes</t>
  </si>
  <si>
    <t>Légère (lombaire)</t>
  </si>
  <si>
    <t>Déclaration AT, adaptation poste</t>
  </si>
  <si>
    <t>INC-2025-003</t>
  </si>
  <si>
    <t>14/02/2025</t>
  </si>
  <si>
    <t>Non-conformité eau</t>
  </si>
  <si>
    <t>Bassin polyvalent</t>
  </si>
  <si>
    <t>Mineure (qualité)</t>
  </si>
  <si>
    <t>Backwash + ajustement chlore</t>
  </si>
  <si>
    <t>INC-2025-004</t>
  </si>
  <si>
    <t>Blessure toboggan</t>
  </si>
  <si>
    <t>1 enfant 8 ans</t>
  </si>
  <si>
    <t>Toboggan</t>
  </si>
  <si>
    <t>Légère (écorchure)</t>
  </si>
  <si>
    <t>Inspection + signalétique</t>
  </si>
  <si>
    <t>INC-2025-005</t>
  </si>
  <si>
    <t>18/06/2025</t>
  </si>
  <si>
    <t>Incivisme vestiaires</t>
  </si>
  <si>
    <t>1 adulte</t>
  </si>
  <si>
    <t>Vestiaires hommes</t>
  </si>
  <si>
    <t>Comportement</t>
  </si>
  <si>
    <t>Exclusion temp. + rappel règles</t>
  </si>
  <si>
    <t>INC-2025-006</t>
  </si>
  <si>
    <t>SUIVI ÉNERGÉTIQUE &amp; ENVIRONNEMENTAL – JANVIER À JUIN 2025</t>
  </si>
  <si>
    <t>CONSOMMATIONS HEBDOMADAIRES</t>
  </si>
  <si>
    <t>Coût Élec. (€)</t>
  </si>
  <si>
    <t>Coût Total (€)</t>
  </si>
  <si>
    <t>TOTAL S1 2025</t>
  </si>
  <si>
    <t>OBJECTIFS ENVIRONNEMENTAUX 2025 – SUIVI S1</t>
  </si>
  <si>
    <t>Objectif</t>
  </si>
  <si>
    <t>Cible annuelle</t>
  </si>
  <si>
    <t>Réduction élec. vs N-1</t>
  </si>
  <si>
    <t>-5%</t>
  </si>
  <si>
    <t>-2.1%</t>
  </si>
  <si>
    <t>-1.8%</t>
  </si>
  <si>
    <t>-4.2%</t>
  </si>
  <si>
    <t>-6.8%</t>
  </si>
  <si>
    <t>-9.1%</t>
  </si>
  <si>
    <t>-11.2%</t>
  </si>
  <si>
    <t>Réduction gaz vs N-1</t>
  </si>
  <si>
    <t>-4%</t>
  </si>
  <si>
    <t>-1.5%</t>
  </si>
  <si>
    <t>+2.3%</t>
  </si>
  <si>
    <t>-3.9%</t>
  </si>
  <si>
    <t>-8.2%</t>
  </si>
  <si>
    <t>-18.4%</t>
  </si>
  <si>
    <t>-25.0%</t>
  </si>
  <si>
    <t>Réduction eau vs N-1</t>
  </si>
  <si>
    <t>-3%</t>
  </si>
  <si>
    <t>-2.8%</t>
  </si>
  <si>
    <t>-3.2%</t>
  </si>
  <si>
    <t>-1.4%</t>
  </si>
  <si>
    <t>+1.2%</t>
  </si>
  <si>
    <t>+2.8%</t>
  </si>
  <si>
    <t>Coût énergie/baigneur</t>
  </si>
  <si>
    <t>&lt;2.50€</t>
  </si>
  <si>
    <t>2.65€</t>
  </si>
  <si>
    <t>2.72€</t>
  </si>
  <si>
    <t>2.19€</t>
  </si>
  <si>
    <t>1.61€</t>
  </si>
  <si>
    <t>1.00€</t>
  </si>
  <si>
    <t>0.90€</t>
  </si>
  <si>
    <t>Part énergies renouvlb.</t>
  </si>
  <si>
    <t>20%</t>
  </si>
  <si>
    <t>8%</t>
  </si>
  <si>
    <t>12%</t>
  </si>
  <si>
    <t>15%</t>
  </si>
  <si>
    <t>18%</t>
  </si>
  <si>
    <t>19%</t>
  </si>
  <si>
    <t>CENTRE AQUATIQUE – TABLEAU DE BORD SEMESTRIEL 2025</t>
  </si>
  <si>
    <t>Conforme</t>
  </si>
  <si>
    <t>1 écart</t>
  </si>
  <si>
    <t>OK – Éch. 2027</t>
  </si>
  <si>
    <t>OK – Éch. nov.2025</t>
  </si>
  <si>
    <t>OK</t>
  </si>
  <si>
    <t>OK – Éch. juin 2026</t>
  </si>
  <si>
    <t>Éch. sept.2025</t>
  </si>
  <si>
    <t>En cours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</si>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</sst>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&quot; €&quot;"/>
    <numFmt numFmtId="166" formatCode="0.00&quot; €&quot;"/>
    <numFmt numFmtId="167" formatCode="0.0"/>
  </numFmts>
  <fonts count="9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4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3" fontId="6" fillId="0" borderId="4" xfId="0" applyNumberFormat="1" applyFont="1" applyFill="1" applyBorder="1" applyAlignment="1">
      <alignment horizontal="center" vertical="center" wrapText="1"/>
    </xf>
    <xf numFmtId="3" fontId="5" fillId="0" borderId="4" xfId="0" applyNumberFormat="1" applyFont="1" applyFill="1" applyBorder="1" applyAlignment="1">
      <alignment horizontal="center" vertical="center" wrapText="1"/>
    </xf>
    <xf numFmtId="164" fontId="5" fillId="0" borderId="5" xfId="0" applyNumberFormat="1" applyFont="1" applyFill="1" applyBorder="1" applyAlignment="1">
      <alignment horizontal="center" vertical="center" wrapText="1"/>
    </xf>
    <xf numFmtId="164" fontId="6" fillId="0" borderId="4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/>
    <xf numFmtId="165" fontId="6" fillId="0" borderId="4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165" fontId="4" fillId="0" borderId="4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5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6" fillId="0" borderId="5" xfId="0" applyFont="1" applyFill="1" applyBorder="1" applyAlignment="1">
      <alignment horizontal="left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5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66" fontId="6" fillId="0" borderId="4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7" fontId="5" fillId="0" borderId="4" xfId="0" applyNumberFormat="1" applyFont="1" applyFill="1" applyBorder="1" applyAlignment="1">
      <alignment horizontal="center" vertical="center" wrapText="1"/>
    </xf>
    <xf numFmtId="167" fontId="5" fillId="0" borderId="5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5F6B"/>
      <rgbColor rgb="FFBFBFBF"/>
      <rgbColor rgb="FF808080"/>
      <rgbColor rgb="FF9999FF"/>
      <rgbColor rgb="FF993366"/>
      <rgbColor rgb="FFF2F2F2"/>
      <rgbColor rgb="FFD0F0F5"/>
      <rgbColor rgb="FF660066"/>
      <rgbColor rgb="FFFF8080"/>
      <rgbColor rgb="FF0066CC"/>
      <rgbColor rgb="FFC8D8E8"/>
      <rgbColor rgb="FF000080"/>
      <rgbColor rgb="FFFF00FF"/>
      <rgbColor rgb="FFFFFF00"/>
      <rgbColor rgb="FF00FFFF"/>
      <rgbColor rgb="FF800080"/>
      <rgbColor rgb="FF800000"/>
      <rgbColor rgb="FF2E6B3C"/>
      <rgbColor rgb="FF0000FF"/>
      <rgbColor rgb="FF00CCFF"/>
      <rgbColor rgb="FFD6E4F0"/>
      <rgbColor rgb="FFD5F0E0"/>
      <rgbColor rgb="FFFCE8D5"/>
      <rgbColor rgb="FFC5E8D5"/>
      <rgbColor rgb="FFFF99CC"/>
      <rgbColor rgb="FFCC99FF"/>
      <rgbColor rgb="FFEDE0FF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D4E"/>
      <rgbColor rgb="FF339966"/>
      <rgbColor rgb="FF003300"/>
      <rgbColor rgb="FF333300"/>
      <rgbColor rgb="FFB85C00"/>
      <rgbColor rgb="FF993366"/>
      <rgbColor rgb="FF5B3A8C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F5A8E7-CB1B-1240-8D8F-AA2C254E3979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edb10dcf-478b-48f0-807d-a7021961923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showGridLines="0" tabSelected="1" zoomScaleNormal="100" workbookViewId="0">
      <selection activeCell="I33" sqref="I33"/>
    </sheetView>
  </sheetViews>
  <sheetFormatPr baseColWidth="10" defaultColWidth="8.6640625" defaultRowHeight="15" x14ac:dyDescent="0.2"/>
  <cols>
    <col min="1" max="1" width="28" customWidth="1"/>
    <col min="2" max="7" width="11" customWidth="1"/>
    <col min="8" max="8" width="13" customWidth="1"/>
    <col min="9" max="9" width="14" customWidth="1"/>
  </cols>
  <sheetData>
    <row r="1" spans="1:9" ht="42" customHeight="1" x14ac:dyDescent="0.2">
      <c r="A1" s="1" t="s">
        <v>313</v>
      </c>
      <c r="B1" s="1"/>
      <c r="C1" s="1"/>
      <c r="D1" s="1"/>
      <c r="E1" s="1"/>
      <c r="F1" s="1"/>
      <c r="G1" s="1"/>
      <c r="H1" s="1"/>
      <c r="I1" s="1"/>
    </row>
    <row r="2" spans="1:9" ht="18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24" customHeight="1" x14ac:dyDescent="0.2">
      <c r="A4" s="4" t="s">
        <v>1</v>
      </c>
      <c r="B4" s="4"/>
      <c r="C4" s="4"/>
      <c r="D4" s="4"/>
      <c r="E4" s="4"/>
      <c r="F4" s="4"/>
      <c r="G4" s="4"/>
      <c r="H4" s="4"/>
      <c r="I4" s="4"/>
    </row>
    <row r="5" spans="1:9" ht="21.75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6" t="s">
        <v>10</v>
      </c>
    </row>
    <row r="6" spans="1:9" ht="18" customHeight="1" x14ac:dyDescent="0.2">
      <c r="A6" s="7" t="s">
        <v>11</v>
      </c>
      <c r="B6" s="8">
        <v>5325</v>
      </c>
      <c r="C6" s="8">
        <v>5160</v>
      </c>
      <c r="D6" s="8">
        <v>6210</v>
      </c>
      <c r="E6" s="8">
        <v>7080</v>
      </c>
      <c r="F6" s="8">
        <v>8450</v>
      </c>
      <c r="G6" s="8">
        <v>9120</v>
      </c>
      <c r="H6" s="9">
        <f>SUM(B6:G6)</f>
        <v>41345</v>
      </c>
      <c r="I6" s="10">
        <f>IF(B6&lt;&gt;0,(G6-B6)/B6,0)</f>
        <v>0.71267605633802822</v>
      </c>
    </row>
    <row r="7" spans="1:9" ht="18" customHeight="1" x14ac:dyDescent="0.2">
      <c r="A7" s="7" t="s">
        <v>12</v>
      </c>
      <c r="B7" s="8">
        <v>3265</v>
      </c>
      <c r="C7" s="8">
        <v>3145</v>
      </c>
      <c r="D7" s="8">
        <v>3780</v>
      </c>
      <c r="E7" s="8">
        <v>4280</v>
      </c>
      <c r="F7" s="8">
        <v>5100</v>
      </c>
      <c r="G7" s="8">
        <v>5530</v>
      </c>
      <c r="H7" s="9">
        <f>SUM(B7:G7)</f>
        <v>25100</v>
      </c>
      <c r="I7" s="10">
        <f>IF(B7&lt;&gt;0,(G7-B7)/B7,0)</f>
        <v>0.69372128637059727</v>
      </c>
    </row>
    <row r="8" spans="1:9" ht="18" customHeight="1" x14ac:dyDescent="0.2">
      <c r="A8" s="7" t="s">
        <v>13</v>
      </c>
      <c r="B8" s="8">
        <v>1350</v>
      </c>
      <c r="C8" s="8">
        <v>1310</v>
      </c>
      <c r="D8" s="8">
        <v>1620</v>
      </c>
      <c r="E8" s="8">
        <v>1840</v>
      </c>
      <c r="F8" s="8">
        <v>2150</v>
      </c>
      <c r="G8" s="8">
        <v>2290</v>
      </c>
      <c r="H8" s="9">
        <f>SUM(B8:G8)</f>
        <v>10560</v>
      </c>
      <c r="I8" s="10">
        <f>IF(B8&lt;&gt;0,(G8-B8)/B8,0)</f>
        <v>0.6962962962962963</v>
      </c>
    </row>
    <row r="9" spans="1:9" ht="18" customHeight="1" x14ac:dyDescent="0.2">
      <c r="A9" s="7" t="s">
        <v>14</v>
      </c>
      <c r="B9" s="8">
        <v>710</v>
      </c>
      <c r="C9" s="8">
        <v>705</v>
      </c>
      <c r="D9" s="8">
        <v>810</v>
      </c>
      <c r="E9" s="8">
        <v>960</v>
      </c>
      <c r="F9" s="8">
        <v>1200</v>
      </c>
      <c r="G9" s="8">
        <v>1300</v>
      </c>
      <c r="H9" s="9">
        <f>SUM(B9:G9)</f>
        <v>5685</v>
      </c>
      <c r="I9" s="10">
        <f>IF(B9&lt;&gt;0,(G9-B9)/B9,0)</f>
        <v>0.83098591549295775</v>
      </c>
    </row>
    <row r="10" spans="1:9" ht="18" customHeight="1" x14ac:dyDescent="0.2">
      <c r="A10" s="7" t="s">
        <v>15</v>
      </c>
      <c r="B10" s="8">
        <v>443</v>
      </c>
      <c r="C10" s="8">
        <v>460</v>
      </c>
      <c r="D10" s="8">
        <v>490</v>
      </c>
      <c r="E10" s="8">
        <v>520</v>
      </c>
      <c r="F10" s="8">
        <v>560</v>
      </c>
      <c r="G10" s="8">
        <v>590</v>
      </c>
      <c r="H10" s="9">
        <f>AVERAGE(B10:G10)</f>
        <v>510.5</v>
      </c>
      <c r="I10" s="10">
        <f>IF(B10&lt;&gt;0,(G10-B10)/B10,0)</f>
        <v>0.33182844243792325</v>
      </c>
    </row>
    <row r="11" spans="1:9" ht="18" customHeight="1" x14ac:dyDescent="0.2">
      <c r="A11" s="7" t="s">
        <v>16</v>
      </c>
      <c r="B11" s="11">
        <v>0.621</v>
      </c>
      <c r="C11" s="11">
        <v>0.60299999999999998</v>
      </c>
      <c r="D11" s="11">
        <v>0.72499999999999998</v>
      </c>
      <c r="E11" s="11">
        <v>0.82699999999999996</v>
      </c>
      <c r="F11" s="11">
        <v>0.98699999999999999</v>
      </c>
      <c r="G11" s="11">
        <v>1.0649999999999999</v>
      </c>
      <c r="H11" s="12">
        <f>AVERAGE(B11:G11)</f>
        <v>0.80466666666666653</v>
      </c>
      <c r="I11" s="10">
        <f>IF(B11&lt;&gt;0,(G11-B11)/B11,0)</f>
        <v>0.71497584541062797</v>
      </c>
    </row>
    <row r="12" spans="1:9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24" customHeight="1" x14ac:dyDescent="0.2">
      <c r="A13" s="4" t="s">
        <v>17</v>
      </c>
      <c r="B13" s="4"/>
      <c r="C13" s="4"/>
      <c r="D13" s="4"/>
      <c r="E13" s="4"/>
      <c r="F13" s="4"/>
      <c r="G13" s="4"/>
      <c r="H13" s="4"/>
      <c r="I13" s="4"/>
    </row>
    <row r="14" spans="1:9" ht="21.75" customHeight="1" x14ac:dyDescent="0.2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5" t="s">
        <v>9</v>
      </c>
      <c r="I14" s="6" t="s">
        <v>10</v>
      </c>
    </row>
    <row r="15" spans="1:9" ht="18" customHeight="1" x14ac:dyDescent="0.2">
      <c r="A15" s="7" t="s">
        <v>18</v>
      </c>
      <c r="B15" s="14">
        <v>37275</v>
      </c>
      <c r="C15" s="14">
        <v>36120</v>
      </c>
      <c r="D15" s="14">
        <v>43470</v>
      </c>
      <c r="E15" s="14">
        <v>49560</v>
      </c>
      <c r="F15" s="14">
        <v>59150</v>
      </c>
      <c r="G15" s="14">
        <v>63840</v>
      </c>
      <c r="H15" s="15">
        <f>SUM(B15:G15)</f>
        <v>289415</v>
      </c>
      <c r="I15" s="10">
        <f>IF(B15&lt;&gt;0,(G15-B15)/B15,0)</f>
        <v>0.71267605633802822</v>
      </c>
    </row>
    <row r="16" spans="1:9" ht="18" customHeight="1" x14ac:dyDescent="0.2">
      <c r="A16" s="7" t="s">
        <v>19</v>
      </c>
      <c r="B16" s="14">
        <v>26265</v>
      </c>
      <c r="C16" s="14">
        <v>27600</v>
      </c>
      <c r="D16" s="14">
        <v>29400</v>
      </c>
      <c r="E16" s="14">
        <v>31200</v>
      </c>
      <c r="F16" s="14">
        <v>33600</v>
      </c>
      <c r="G16" s="14">
        <v>35400</v>
      </c>
      <c r="H16" s="15">
        <f>SUM(B16:G16)</f>
        <v>183465</v>
      </c>
      <c r="I16" s="10">
        <f>IF(B16&lt;&gt;0,(G16-B16)/B16,0)</f>
        <v>0.34780125642490006</v>
      </c>
    </row>
    <row r="17" spans="1:9" ht="18" customHeight="1" x14ac:dyDescent="0.2">
      <c r="A17" s="7" t="s">
        <v>20</v>
      </c>
      <c r="B17" s="14">
        <v>8200</v>
      </c>
      <c r="C17" s="14">
        <v>8450</v>
      </c>
      <c r="D17" s="14">
        <v>9600</v>
      </c>
      <c r="E17" s="14">
        <v>10800</v>
      </c>
      <c r="F17" s="14">
        <v>12500</v>
      </c>
      <c r="G17" s="14">
        <v>13200</v>
      </c>
      <c r="H17" s="15">
        <f>SUM(B17:G17)</f>
        <v>62750</v>
      </c>
      <c r="I17" s="10">
        <f>IF(B17&lt;&gt;0,(G17-B17)/B17,0)</f>
        <v>0.6097560975609756</v>
      </c>
    </row>
    <row r="18" spans="1:9" ht="18" customHeight="1" x14ac:dyDescent="0.2">
      <c r="A18" s="7" t="s">
        <v>21</v>
      </c>
      <c r="B18" s="14">
        <v>1680</v>
      </c>
      <c r="C18" s="14">
        <v>1540</v>
      </c>
      <c r="D18" s="14">
        <v>1820</v>
      </c>
      <c r="E18" s="14">
        <v>2100</v>
      </c>
      <c r="F18" s="14">
        <v>2480</v>
      </c>
      <c r="G18" s="14">
        <v>2750</v>
      </c>
      <c r="H18" s="15">
        <f>SUM(B18:G18)</f>
        <v>12370</v>
      </c>
      <c r="I18" s="10">
        <f>IF(B18&lt;&gt;0,(G18-B18)/B18,0)</f>
        <v>0.63690476190476186</v>
      </c>
    </row>
    <row r="19" spans="1:9" ht="18" customHeight="1" x14ac:dyDescent="0.2">
      <c r="A19" s="7" t="s">
        <v>22</v>
      </c>
      <c r="B19" s="14">
        <v>2140</v>
      </c>
      <c r="C19" s="14">
        <v>2100</v>
      </c>
      <c r="D19" s="14">
        <v>2480</v>
      </c>
      <c r="E19" s="14">
        <v>2820</v>
      </c>
      <c r="F19" s="14">
        <v>3350</v>
      </c>
      <c r="G19" s="14">
        <v>3680</v>
      </c>
      <c r="H19" s="15">
        <f>SUM(B19:G19)</f>
        <v>16570</v>
      </c>
      <c r="I19" s="10">
        <f>IF(B19&lt;&gt;0,(G19-B19)/B19,0)</f>
        <v>0.71962616822429903</v>
      </c>
    </row>
    <row r="20" spans="1:9" ht="18" customHeight="1" x14ac:dyDescent="0.2">
      <c r="A20" s="7" t="s">
        <v>23</v>
      </c>
      <c r="B20" s="14">
        <v>1050</v>
      </c>
      <c r="C20" s="14">
        <v>1010</v>
      </c>
      <c r="D20" s="14">
        <v>1150</v>
      </c>
      <c r="E20" s="14">
        <v>1280</v>
      </c>
      <c r="F20" s="14">
        <v>1480</v>
      </c>
      <c r="G20" s="14">
        <v>1620</v>
      </c>
      <c r="H20" s="15">
        <f>SUM(B20:G20)</f>
        <v>7590</v>
      </c>
      <c r="I20" s="10">
        <f>IF(B20&lt;&gt;0,(G20-B20)/B20,0)</f>
        <v>0.54285714285714282</v>
      </c>
    </row>
    <row r="21" spans="1:9" ht="18" customHeight="1" x14ac:dyDescent="0.2">
      <c r="A21" s="16" t="s">
        <v>24</v>
      </c>
      <c r="B21" s="15">
        <f>SUM(B15:B20)</f>
        <v>76610</v>
      </c>
      <c r="C21" s="15">
        <f>SUM(C15:C20)</f>
        <v>76820</v>
      </c>
      <c r="D21" s="15">
        <f>SUM(D15:D20)</f>
        <v>87920</v>
      </c>
      <c r="E21" s="15">
        <f>SUM(E15:E20)</f>
        <v>97760</v>
      </c>
      <c r="F21" s="15">
        <f>SUM(F15:F20)</f>
        <v>112560</v>
      </c>
      <c r="G21" s="15">
        <f>SUM(G15:G20)</f>
        <v>120490</v>
      </c>
      <c r="H21" s="15">
        <f>SUM(B21:G21)</f>
        <v>572160</v>
      </c>
      <c r="I21" s="10">
        <f>IF(B21&lt;&gt;0,(G21-B21)/B21,0)</f>
        <v>0.57277117869729799</v>
      </c>
    </row>
    <row r="22" spans="1:9" ht="18" customHeight="1" x14ac:dyDescent="0.2">
      <c r="A22" s="7" t="s">
        <v>25</v>
      </c>
      <c r="B22" s="14">
        <v>36800</v>
      </c>
      <c r="C22" s="14">
        <v>36800</v>
      </c>
      <c r="D22" s="14">
        <v>36800</v>
      </c>
      <c r="E22" s="14">
        <v>36800</v>
      </c>
      <c r="F22" s="14">
        <v>36800</v>
      </c>
      <c r="G22" s="14">
        <v>36800</v>
      </c>
      <c r="H22" s="15">
        <f>SUM(B22:G22)</f>
        <v>220800</v>
      </c>
      <c r="I22" s="10">
        <f>IF(B22&lt;&gt;0,(G22-B22)/B22,0)</f>
        <v>0</v>
      </c>
    </row>
    <row r="23" spans="1:9" ht="18" customHeight="1" x14ac:dyDescent="0.2">
      <c r="A23" s="7" t="s">
        <v>26</v>
      </c>
      <c r="B23" s="14">
        <v>18400</v>
      </c>
      <c r="C23" s="14">
        <v>18400</v>
      </c>
      <c r="D23" s="14">
        <v>18400</v>
      </c>
      <c r="E23" s="14">
        <v>18400</v>
      </c>
      <c r="F23" s="14">
        <v>18400</v>
      </c>
      <c r="G23" s="14">
        <v>18400</v>
      </c>
      <c r="H23" s="15">
        <f>SUM(B23:G23)</f>
        <v>110400</v>
      </c>
      <c r="I23" s="10">
        <f>IF(B23&lt;&gt;0,(G23-B23)/B23,0)</f>
        <v>0</v>
      </c>
    </row>
    <row r="24" spans="1:9" ht="18" customHeight="1" x14ac:dyDescent="0.2">
      <c r="A24" s="7" t="s">
        <v>27</v>
      </c>
      <c r="B24" s="14">
        <v>10750</v>
      </c>
      <c r="C24" s="14">
        <v>11150</v>
      </c>
      <c r="D24" s="14">
        <v>9800</v>
      </c>
      <c r="E24" s="14">
        <v>8200</v>
      </c>
      <c r="F24" s="14">
        <v>6900</v>
      </c>
      <c r="G24" s="14">
        <v>6400</v>
      </c>
      <c r="H24" s="15">
        <f>SUM(B24:G24)</f>
        <v>53200</v>
      </c>
      <c r="I24" s="10">
        <f>IF(B24&lt;&gt;0,(G24-B24)/B24,0)</f>
        <v>-0.40465116279069768</v>
      </c>
    </row>
    <row r="25" spans="1:9" ht="18" customHeight="1" x14ac:dyDescent="0.2">
      <c r="A25" s="7" t="s">
        <v>28</v>
      </c>
      <c r="B25" s="14">
        <v>4740</v>
      </c>
      <c r="C25" s="14">
        <v>5020</v>
      </c>
      <c r="D25" s="14">
        <v>3800</v>
      </c>
      <c r="E25" s="14">
        <v>2100</v>
      </c>
      <c r="F25" s="14">
        <v>800</v>
      </c>
      <c r="G25" s="14">
        <v>200</v>
      </c>
      <c r="H25" s="15">
        <f>SUM(B25:G25)</f>
        <v>16660</v>
      </c>
      <c r="I25" s="10">
        <f>IF(B25&lt;&gt;0,(G25-B25)/B25,0)</f>
        <v>-0.95780590717299574</v>
      </c>
    </row>
    <row r="26" spans="1:9" ht="18" customHeight="1" x14ac:dyDescent="0.2">
      <c r="A26" s="7" t="s">
        <v>29</v>
      </c>
      <c r="B26" s="14">
        <v>1350</v>
      </c>
      <c r="C26" s="14">
        <v>1280</v>
      </c>
      <c r="D26" s="14">
        <v>1420</v>
      </c>
      <c r="E26" s="14">
        <v>1580</v>
      </c>
      <c r="F26" s="14">
        <v>1820</v>
      </c>
      <c r="G26" s="14">
        <v>1960</v>
      </c>
      <c r="H26" s="15">
        <f>SUM(B26:G26)</f>
        <v>9410</v>
      </c>
      <c r="I26" s="10">
        <f>IF(B26&lt;&gt;0,(G26-B26)/B26,0)</f>
        <v>0.45185185185185184</v>
      </c>
    </row>
    <row r="27" spans="1:9" ht="18" customHeight="1" x14ac:dyDescent="0.2">
      <c r="A27" s="7" t="s">
        <v>30</v>
      </c>
      <c r="B27" s="14">
        <v>2005</v>
      </c>
      <c r="C27" s="14">
        <v>1935</v>
      </c>
      <c r="D27" s="14">
        <v>2100</v>
      </c>
      <c r="E27" s="14">
        <v>2250</v>
      </c>
      <c r="F27" s="14">
        <v>2480</v>
      </c>
      <c r="G27" s="14">
        <v>2620</v>
      </c>
      <c r="H27" s="15">
        <f>SUM(B27:G27)</f>
        <v>13390</v>
      </c>
      <c r="I27" s="10">
        <f>IF(B27&lt;&gt;0,(G27-B27)/B27,0)</f>
        <v>0.30673316708229426</v>
      </c>
    </row>
    <row r="28" spans="1:9" ht="18" customHeight="1" x14ac:dyDescent="0.2">
      <c r="A28" s="7" t="s">
        <v>31</v>
      </c>
      <c r="B28" s="14">
        <v>1850</v>
      </c>
      <c r="C28" s="14">
        <v>1600</v>
      </c>
      <c r="D28" s="14">
        <v>2000</v>
      </c>
      <c r="E28" s="14">
        <v>2000</v>
      </c>
      <c r="F28" s="14">
        <v>2000</v>
      </c>
      <c r="G28" s="14">
        <v>2000</v>
      </c>
      <c r="H28" s="15">
        <f>SUM(B28:G28)</f>
        <v>11450</v>
      </c>
      <c r="I28" s="10">
        <f>IF(B28&lt;&gt;0,(G28-B28)/B28,0)</f>
        <v>8.1081081081081086E-2</v>
      </c>
    </row>
    <row r="29" spans="1:9" ht="18" customHeight="1" x14ac:dyDescent="0.2">
      <c r="A29" s="7" t="s">
        <v>32</v>
      </c>
      <c r="B29" s="14">
        <v>2400</v>
      </c>
      <c r="C29" s="14">
        <v>2400</v>
      </c>
      <c r="D29" s="14">
        <v>800</v>
      </c>
      <c r="E29" s="14">
        <v>500</v>
      </c>
      <c r="F29" s="14">
        <v>300</v>
      </c>
      <c r="G29" s="14">
        <v>1200</v>
      </c>
      <c r="H29" s="15">
        <f>SUM(B29:G29)</f>
        <v>7600</v>
      </c>
      <c r="I29" s="10">
        <f>IF(B29&lt;&gt;0,(G29-B29)/B29,0)</f>
        <v>-0.5</v>
      </c>
    </row>
    <row r="30" spans="1:9" ht="18" customHeight="1" x14ac:dyDescent="0.2">
      <c r="A30" s="7" t="s">
        <v>33</v>
      </c>
      <c r="B30" s="14">
        <v>1500</v>
      </c>
      <c r="C30" s="14">
        <v>1500</v>
      </c>
      <c r="D30" s="14">
        <v>1500</v>
      </c>
      <c r="E30" s="14">
        <v>1500</v>
      </c>
      <c r="F30" s="14">
        <v>1500</v>
      </c>
      <c r="G30" s="14">
        <v>1500</v>
      </c>
      <c r="H30" s="15">
        <f>SUM(B30:G30)</f>
        <v>9000</v>
      </c>
      <c r="I30" s="10">
        <f>IF(B30&lt;&gt;0,(G30-B30)/B30,0)</f>
        <v>0</v>
      </c>
    </row>
    <row r="31" spans="1:9" ht="18" customHeight="1" x14ac:dyDescent="0.2">
      <c r="A31" s="7" t="s">
        <v>34</v>
      </c>
      <c r="B31" s="14">
        <v>1100</v>
      </c>
      <c r="C31" s="14">
        <v>1050</v>
      </c>
      <c r="D31" s="14">
        <v>1100</v>
      </c>
      <c r="E31" s="14">
        <v>1100</v>
      </c>
      <c r="F31" s="14">
        <v>1100</v>
      </c>
      <c r="G31" s="14">
        <v>1100</v>
      </c>
      <c r="H31" s="15">
        <f>SUM(B31:G31)</f>
        <v>6550</v>
      </c>
      <c r="I31" s="10">
        <f>IF(B31&lt;&gt;0,(G31-B31)/B31,0)</f>
        <v>0</v>
      </c>
    </row>
    <row r="32" spans="1:9" ht="18" customHeight="1" x14ac:dyDescent="0.2">
      <c r="A32" s="16" t="s">
        <v>35</v>
      </c>
      <c r="B32" s="15">
        <f>SUM(B22:B31)</f>
        <v>80895</v>
      </c>
      <c r="C32" s="15">
        <f>SUM(C22:C31)</f>
        <v>81135</v>
      </c>
      <c r="D32" s="15">
        <f>SUM(D22:D31)</f>
        <v>77720</v>
      </c>
      <c r="E32" s="15">
        <f>SUM(E22:E31)</f>
        <v>74430</v>
      </c>
      <c r="F32" s="15">
        <f>SUM(F22:F31)</f>
        <v>72100</v>
      </c>
      <c r="G32" s="15">
        <f>SUM(G22:G31)</f>
        <v>72180</v>
      </c>
      <c r="H32" s="15">
        <f>SUM(B32:G32)</f>
        <v>458460</v>
      </c>
      <c r="I32" s="10">
        <f>IF(B32&lt;&gt;0,(G32-B32)/B32,0)</f>
        <v>-0.10773224550343037</v>
      </c>
    </row>
    <row r="33" spans="1:9" ht="24" customHeight="1" x14ac:dyDescent="0.2">
      <c r="A33" s="17" t="s">
        <v>36</v>
      </c>
      <c r="B33" s="18">
        <f>B21-B32</f>
        <v>-4285</v>
      </c>
      <c r="C33" s="18">
        <f>C21-C32</f>
        <v>-4315</v>
      </c>
      <c r="D33" s="18">
        <f>D21-D32</f>
        <v>10200</v>
      </c>
      <c r="E33" s="18">
        <f>E21-E32</f>
        <v>23330</v>
      </c>
      <c r="F33" s="18">
        <f>F21-F32</f>
        <v>40460</v>
      </c>
      <c r="G33" s="18">
        <f>G21-G32</f>
        <v>48310</v>
      </c>
      <c r="H33" s="18">
        <f>H21-H32</f>
        <v>113700</v>
      </c>
      <c r="I33" s="19">
        <f>IF(B33&lt;&gt;0,(G33-B33)/B33,0)</f>
        <v>-12.274212368728122</v>
      </c>
    </row>
    <row r="34" spans="1:9" x14ac:dyDescent="0.2">
      <c r="A34" s="13"/>
      <c r="B34" s="13"/>
      <c r="C34" s="13"/>
      <c r="D34" s="13"/>
      <c r="E34" s="13"/>
      <c r="F34" s="13"/>
      <c r="G34" s="13"/>
      <c r="H34" s="13"/>
      <c r="I34" s="13"/>
    </row>
    <row r="35" spans="1:9" ht="24" customHeight="1" x14ac:dyDescent="0.2">
      <c r="A35" s="4" t="s">
        <v>37</v>
      </c>
      <c r="B35" s="4"/>
      <c r="C35" s="4"/>
      <c r="D35" s="4"/>
      <c r="E35" s="4"/>
      <c r="F35" s="4"/>
      <c r="G35" s="4"/>
      <c r="H35" s="4"/>
      <c r="I35" s="4"/>
    </row>
    <row r="36" spans="1:9" ht="21.75" customHeight="1" x14ac:dyDescent="0.2">
      <c r="A36" s="5" t="s">
        <v>2</v>
      </c>
      <c r="B36" s="5" t="s">
        <v>3</v>
      </c>
      <c r="C36" s="5" t="s">
        <v>4</v>
      </c>
      <c r="D36" s="5" t="s">
        <v>5</v>
      </c>
      <c r="E36" s="5" t="s">
        <v>6</v>
      </c>
      <c r="F36" s="5" t="s">
        <v>7</v>
      </c>
      <c r="G36" s="5" t="s">
        <v>8</v>
      </c>
      <c r="H36" s="5" t="s">
        <v>9</v>
      </c>
      <c r="I36" s="6" t="s">
        <v>10</v>
      </c>
    </row>
    <row r="37" spans="1:9" ht="18" customHeight="1" x14ac:dyDescent="0.2">
      <c r="A37" s="7" t="s">
        <v>38</v>
      </c>
      <c r="B37" s="20">
        <v>7.38</v>
      </c>
      <c r="C37" s="20">
        <v>7.4</v>
      </c>
      <c r="D37" s="20">
        <v>7.35</v>
      </c>
      <c r="E37" s="20">
        <v>7.38</v>
      </c>
      <c r="F37" s="20">
        <v>7.42</v>
      </c>
      <c r="G37" s="20">
        <v>7.45</v>
      </c>
      <c r="H37" s="21">
        <f>AVERAGE(B37:G37)</f>
        <v>7.3966666666666674</v>
      </c>
      <c r="I37" s="22"/>
    </row>
    <row r="38" spans="1:9" ht="18" customHeight="1" x14ac:dyDescent="0.2">
      <c r="A38" s="7" t="s">
        <v>39</v>
      </c>
      <c r="B38" s="20">
        <v>1.05</v>
      </c>
      <c r="C38" s="20">
        <v>0.98</v>
      </c>
      <c r="D38" s="20">
        <v>1.08</v>
      </c>
      <c r="E38" s="20">
        <v>1.1200000000000001</v>
      </c>
      <c r="F38" s="20">
        <v>1.18</v>
      </c>
      <c r="G38" s="20">
        <v>1.22</v>
      </c>
      <c r="H38" s="21">
        <f>AVERAGE(B38:G38)</f>
        <v>1.105</v>
      </c>
      <c r="I38" s="22"/>
    </row>
    <row r="39" spans="1:9" ht="18" customHeight="1" x14ac:dyDescent="0.2">
      <c r="A39" s="7" t="s">
        <v>40</v>
      </c>
      <c r="B39" s="20">
        <v>27.7</v>
      </c>
      <c r="C39" s="20">
        <v>27.9</v>
      </c>
      <c r="D39" s="20">
        <v>28.1</v>
      </c>
      <c r="E39" s="20">
        <v>28.3</v>
      </c>
      <c r="F39" s="20">
        <v>28.5</v>
      </c>
      <c r="G39" s="20">
        <v>28.6</v>
      </c>
      <c r="H39" s="21">
        <f>AVERAGE(B39:G39)</f>
        <v>28.183333333333334</v>
      </c>
      <c r="I39" s="22"/>
    </row>
    <row r="40" spans="1:9" ht="18" customHeight="1" x14ac:dyDescent="0.2">
      <c r="A40" s="7" t="s">
        <v>41</v>
      </c>
      <c r="B40" s="20">
        <v>0.24</v>
      </c>
      <c r="C40" s="20">
        <v>0.25</v>
      </c>
      <c r="D40" s="20">
        <v>0.23</v>
      </c>
      <c r="E40" s="20">
        <v>0.22</v>
      </c>
      <c r="F40" s="20">
        <v>0.21</v>
      </c>
      <c r="G40" s="20">
        <v>0.2</v>
      </c>
      <c r="H40" s="21">
        <f>AVERAGE(B40:G40)</f>
        <v>0.22499999999999998</v>
      </c>
      <c r="I40" s="22"/>
    </row>
    <row r="41" spans="1:9" ht="18" customHeight="1" x14ac:dyDescent="0.2">
      <c r="A41" s="7" t="s">
        <v>42</v>
      </c>
      <c r="B41" s="20">
        <v>0.19</v>
      </c>
      <c r="C41" s="20">
        <v>0.21</v>
      </c>
      <c r="D41" s="20">
        <v>0.18</v>
      </c>
      <c r="E41" s="20">
        <v>0.17</v>
      </c>
      <c r="F41" s="20">
        <v>0.16</v>
      </c>
      <c r="G41" s="20">
        <v>0.15</v>
      </c>
      <c r="H41" s="21">
        <f>AVERAGE(B41:G41)</f>
        <v>0.17666666666666667</v>
      </c>
      <c r="I41" s="22"/>
    </row>
    <row r="42" spans="1:9" ht="18" customHeight="1" x14ac:dyDescent="0.2">
      <c r="A42" s="7" t="s">
        <v>43</v>
      </c>
      <c r="B42" s="8">
        <v>1</v>
      </c>
      <c r="C42" s="8">
        <v>2</v>
      </c>
      <c r="D42" s="8">
        <v>0</v>
      </c>
      <c r="E42" s="8">
        <v>1</v>
      </c>
      <c r="F42" s="8">
        <v>0</v>
      </c>
      <c r="G42" s="8">
        <v>0</v>
      </c>
      <c r="H42" s="9">
        <f>SUM(B42:G42)</f>
        <v>4</v>
      </c>
      <c r="I42" s="22"/>
    </row>
    <row r="43" spans="1:9" x14ac:dyDescent="0.2">
      <c r="A43" s="13"/>
      <c r="B43" s="13"/>
      <c r="C43" s="13"/>
      <c r="D43" s="13"/>
      <c r="E43" s="13"/>
      <c r="F43" s="13"/>
      <c r="G43" s="13"/>
      <c r="H43" s="13"/>
      <c r="I43" s="13"/>
    </row>
    <row r="44" spans="1:9" ht="24" customHeight="1" x14ac:dyDescent="0.2">
      <c r="A44" s="4" t="s">
        <v>44</v>
      </c>
      <c r="B44" s="4"/>
      <c r="C44" s="4"/>
      <c r="D44" s="4"/>
      <c r="E44" s="4"/>
      <c r="F44" s="4"/>
      <c r="G44" s="4"/>
      <c r="H44" s="4"/>
      <c r="I44" s="4"/>
    </row>
    <row r="45" spans="1:9" ht="21.75" customHeight="1" x14ac:dyDescent="0.2">
      <c r="A45" s="5" t="s">
        <v>2</v>
      </c>
      <c r="B45" s="5" t="s">
        <v>3</v>
      </c>
      <c r="C45" s="5" t="s">
        <v>4</v>
      </c>
      <c r="D45" s="5" t="s">
        <v>5</v>
      </c>
      <c r="E45" s="5" t="s">
        <v>6</v>
      </c>
      <c r="F45" s="5" t="s">
        <v>7</v>
      </c>
      <c r="G45" s="5" t="s">
        <v>8</v>
      </c>
      <c r="H45" s="5" t="s">
        <v>9</v>
      </c>
      <c r="I45" s="6" t="s">
        <v>10</v>
      </c>
    </row>
    <row r="46" spans="1:9" ht="18" customHeight="1" x14ac:dyDescent="0.2">
      <c r="A46" s="7" t="s">
        <v>45</v>
      </c>
      <c r="B46" s="8">
        <v>8</v>
      </c>
      <c r="C46" s="8">
        <v>12</v>
      </c>
      <c r="D46" s="8">
        <v>6</v>
      </c>
      <c r="E46" s="8">
        <v>9</v>
      </c>
      <c r="F46" s="8">
        <v>5</v>
      </c>
      <c r="G46" s="8">
        <v>7</v>
      </c>
      <c r="H46" s="9">
        <f>SUM(B46:G46)</f>
        <v>47</v>
      </c>
      <c r="I46" s="22"/>
    </row>
    <row r="47" spans="1:9" ht="18" customHeight="1" x14ac:dyDescent="0.2">
      <c r="A47" s="7" t="s">
        <v>46</v>
      </c>
      <c r="B47" s="11">
        <v>2.1999999999999999E-2</v>
      </c>
      <c r="C47" s="11">
        <v>3.3000000000000002E-2</v>
      </c>
      <c r="D47" s="11">
        <v>1.7000000000000001E-2</v>
      </c>
      <c r="E47" s="11">
        <v>2.5000000000000001E-2</v>
      </c>
      <c r="F47" s="11">
        <v>1.4E-2</v>
      </c>
      <c r="G47" s="11">
        <v>1.9E-2</v>
      </c>
      <c r="H47" s="12">
        <f>AVERAGE(B47:G47)</f>
        <v>2.1666666666666667E-2</v>
      </c>
      <c r="I47" s="22"/>
    </row>
    <row r="48" spans="1:9" ht="18" customHeight="1" x14ac:dyDescent="0.2">
      <c r="A48" s="7" t="s">
        <v>47</v>
      </c>
      <c r="B48" s="8">
        <v>2</v>
      </c>
      <c r="C48" s="8">
        <v>3</v>
      </c>
      <c r="D48" s="8">
        <v>1</v>
      </c>
      <c r="E48" s="8">
        <v>2</v>
      </c>
      <c r="F48" s="8">
        <v>2</v>
      </c>
      <c r="G48" s="8">
        <v>1</v>
      </c>
      <c r="H48" s="9">
        <f>SUM(B48:G48)</f>
        <v>11</v>
      </c>
      <c r="I48" s="22"/>
    </row>
    <row r="49" spans="1:9" ht="18" customHeight="1" x14ac:dyDescent="0.2">
      <c r="A49" s="7" t="s">
        <v>48</v>
      </c>
      <c r="B49" s="8">
        <v>2</v>
      </c>
      <c r="C49" s="8">
        <v>1</v>
      </c>
      <c r="D49" s="8">
        <v>0</v>
      </c>
      <c r="E49" s="8">
        <v>1</v>
      </c>
      <c r="F49" s="8">
        <v>0</v>
      </c>
      <c r="G49" s="8">
        <v>1</v>
      </c>
      <c r="H49" s="9">
        <f>SUM(B49:G49)</f>
        <v>5</v>
      </c>
      <c r="I49" s="22"/>
    </row>
    <row r="50" spans="1:9" x14ac:dyDescent="0.2">
      <c r="A50" s="13"/>
      <c r="B50" s="13"/>
      <c r="C50" s="13"/>
      <c r="D50" s="13"/>
      <c r="E50" s="13"/>
      <c r="F50" s="13"/>
      <c r="G50" s="13"/>
      <c r="H50" s="13"/>
      <c r="I50" s="13"/>
    </row>
    <row r="51" spans="1:9" ht="24" customHeight="1" x14ac:dyDescent="0.2">
      <c r="A51" s="4" t="s">
        <v>49</v>
      </c>
      <c r="B51" s="4"/>
      <c r="C51" s="4"/>
      <c r="D51" s="4"/>
      <c r="E51" s="4"/>
      <c r="F51" s="4"/>
      <c r="G51" s="4"/>
      <c r="H51" s="4"/>
      <c r="I51" s="4"/>
    </row>
    <row r="52" spans="1:9" ht="21.75" customHeight="1" x14ac:dyDescent="0.2">
      <c r="A52" s="5" t="s">
        <v>2</v>
      </c>
      <c r="B52" s="5" t="s">
        <v>3</v>
      </c>
      <c r="C52" s="5" t="s">
        <v>4</v>
      </c>
      <c r="D52" s="5" t="s">
        <v>5</v>
      </c>
      <c r="E52" s="5" t="s">
        <v>6</v>
      </c>
      <c r="F52" s="5" t="s">
        <v>7</v>
      </c>
      <c r="G52" s="5" t="s">
        <v>8</v>
      </c>
      <c r="H52" s="5" t="s">
        <v>9</v>
      </c>
      <c r="I52" s="6" t="s">
        <v>10</v>
      </c>
    </row>
    <row r="53" spans="1:9" ht="18" customHeight="1" x14ac:dyDescent="0.2">
      <c r="A53" s="7" t="s">
        <v>50</v>
      </c>
      <c r="B53" s="8">
        <v>32000</v>
      </c>
      <c r="C53" s="8">
        <v>32650</v>
      </c>
      <c r="D53" s="8">
        <v>28400</v>
      </c>
      <c r="E53" s="8">
        <v>22800</v>
      </c>
      <c r="F53" s="8">
        <v>18500</v>
      </c>
      <c r="G53" s="8">
        <v>16800</v>
      </c>
      <c r="H53" s="9">
        <f>SUM(B53:G53)</f>
        <v>151150</v>
      </c>
      <c r="I53" s="10">
        <f>IF(B53&lt;&gt;0,(G53-B53)/B53,0)</f>
        <v>-0.47499999999999998</v>
      </c>
    </row>
    <row r="54" spans="1:9" ht="18" customHeight="1" x14ac:dyDescent="0.2">
      <c r="A54" s="7" t="s">
        <v>51</v>
      </c>
      <c r="B54" s="8">
        <v>4840</v>
      </c>
      <c r="C54" s="8">
        <v>5010</v>
      </c>
      <c r="D54" s="8">
        <v>3650</v>
      </c>
      <c r="E54" s="8">
        <v>1980</v>
      </c>
      <c r="F54" s="8">
        <v>620</v>
      </c>
      <c r="G54" s="8">
        <v>150</v>
      </c>
      <c r="H54" s="9">
        <f>SUM(B54:G54)</f>
        <v>16250</v>
      </c>
      <c r="I54" s="10">
        <f>IF(B54&lt;&gt;0,(G54-B54)/B54,0)</f>
        <v>-0.96900826446280997</v>
      </c>
    </row>
    <row r="55" spans="1:9" ht="18" customHeight="1" x14ac:dyDescent="0.2">
      <c r="A55" s="7" t="s">
        <v>52</v>
      </c>
      <c r="B55" s="8">
        <v>1745</v>
      </c>
      <c r="C55" s="8">
        <v>1585</v>
      </c>
      <c r="D55" s="8">
        <v>1720</v>
      </c>
      <c r="E55" s="8">
        <v>1890</v>
      </c>
      <c r="F55" s="8">
        <v>2150</v>
      </c>
      <c r="G55" s="8">
        <v>2380</v>
      </c>
      <c r="H55" s="9">
        <f>SUM(B55:G55)</f>
        <v>11470</v>
      </c>
      <c r="I55" s="10">
        <f>IF(B55&lt;&gt;0,(G55-B55)/B55,0)</f>
        <v>0.36389684813753581</v>
      </c>
    </row>
    <row r="56" spans="1:9" ht="18" customHeight="1" x14ac:dyDescent="0.2">
      <c r="A56" s="7" t="s">
        <v>53</v>
      </c>
      <c r="B56" s="14">
        <v>5440</v>
      </c>
      <c r="C56" s="14">
        <v>5555</v>
      </c>
      <c r="D56" s="14">
        <v>4828</v>
      </c>
      <c r="E56" s="14">
        <v>3876</v>
      </c>
      <c r="F56" s="14">
        <v>3145</v>
      </c>
      <c r="G56" s="14">
        <v>2856</v>
      </c>
      <c r="H56" s="15">
        <f>SUM(B56:G56)</f>
        <v>25700</v>
      </c>
      <c r="I56" s="10">
        <f>IF(B56&lt;&gt;0,(G56-B56)/B56,0)</f>
        <v>-0.47499999999999998</v>
      </c>
    </row>
    <row r="57" spans="1:9" ht="18" customHeight="1" x14ac:dyDescent="0.2">
      <c r="A57" s="7" t="s">
        <v>54</v>
      </c>
      <c r="B57" s="14">
        <v>4356</v>
      </c>
      <c r="C57" s="14">
        <v>4509</v>
      </c>
      <c r="D57" s="14">
        <v>3285</v>
      </c>
      <c r="E57" s="14">
        <v>1782</v>
      </c>
      <c r="F57" s="14">
        <v>558</v>
      </c>
      <c r="G57" s="14">
        <v>135</v>
      </c>
      <c r="H57" s="15">
        <f>SUM(B57:G57)</f>
        <v>14625</v>
      </c>
      <c r="I57" s="10">
        <f>IF(B57&lt;&gt;0,(G57-B57)/B57,0)</f>
        <v>-0.96900826446280997</v>
      </c>
    </row>
    <row r="58" spans="1:9" ht="18" customHeight="1" x14ac:dyDescent="0.2">
      <c r="A58" s="7" t="s">
        <v>55</v>
      </c>
      <c r="B58" s="14">
        <v>3490</v>
      </c>
      <c r="C58" s="14">
        <v>3170</v>
      </c>
      <c r="D58" s="14">
        <v>3440</v>
      </c>
      <c r="E58" s="14">
        <v>3780</v>
      </c>
      <c r="F58" s="14">
        <v>4300</v>
      </c>
      <c r="G58" s="14">
        <v>4760</v>
      </c>
      <c r="H58" s="15">
        <f>SUM(B58:G58)</f>
        <v>22940</v>
      </c>
      <c r="I58" s="10">
        <f>IF(B58&lt;&gt;0,(G58-B58)/B58,0)</f>
        <v>0.36389684813753581</v>
      </c>
    </row>
    <row r="59" spans="1:9" ht="18" customHeight="1" x14ac:dyDescent="0.2">
      <c r="A59" s="23" t="s">
        <v>56</v>
      </c>
      <c r="B59" s="24">
        <f>SUM(B56:B58)</f>
        <v>13286</v>
      </c>
      <c r="C59" s="24">
        <f>SUM(C56:C58)</f>
        <v>13234</v>
      </c>
      <c r="D59" s="24">
        <f>SUM(D56:D58)</f>
        <v>11553</v>
      </c>
      <c r="E59" s="24">
        <f>SUM(E56:E58)</f>
        <v>9438</v>
      </c>
      <c r="F59" s="24">
        <f>SUM(F56:F58)</f>
        <v>8003</v>
      </c>
      <c r="G59" s="24">
        <f>SUM(G56:G58)</f>
        <v>7751</v>
      </c>
      <c r="H59" s="24">
        <f>SUM(B59:G59)</f>
        <v>63265</v>
      </c>
      <c r="I59" s="25">
        <f>IF(B59&lt;&gt;0,(G59-B59)/B59,0)</f>
        <v>-0.41660394400120426</v>
      </c>
    </row>
  </sheetData>
  <mergeCells count="7">
    <mergeCell ref="A44:I44"/>
    <mergeCell ref="A51:I51"/>
    <mergeCell ref="A1:I1"/>
    <mergeCell ref="A2:I2"/>
    <mergeCell ref="A4:I4"/>
    <mergeCell ref="A13:I13"/>
    <mergeCell ref="A35:I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8" customWidth="1"/>
    <col min="2" max="5" width="12" customWidth="1"/>
    <col min="6" max="7" width="14" customWidth="1"/>
    <col min="8" max="8" width="12" customWidth="1"/>
  </cols>
  <sheetData>
    <row r="1" spans="1:8" ht="34.5" customHeight="1" x14ac:dyDescent="0.2">
      <c r="A1" s="26" t="s">
        <v>57</v>
      </c>
      <c r="B1" s="26"/>
      <c r="C1" s="26"/>
      <c r="D1" s="26"/>
      <c r="E1" s="26"/>
      <c r="F1" s="26"/>
      <c r="G1" s="26"/>
      <c r="H1" s="26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ht="21.75" customHeight="1" x14ac:dyDescent="0.2">
      <c r="A3" s="27" t="s">
        <v>58</v>
      </c>
      <c r="B3" s="27"/>
      <c r="C3" s="27"/>
      <c r="D3" s="27"/>
      <c r="E3" s="27"/>
      <c r="F3" s="27"/>
      <c r="G3" s="27"/>
      <c r="H3" s="27"/>
    </row>
    <row r="4" spans="1:8" ht="18" customHeight="1" x14ac:dyDescent="0.2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6" t="s">
        <v>66</v>
      </c>
    </row>
    <row r="5" spans="1:8" ht="18" customHeight="1" x14ac:dyDescent="0.2">
      <c r="A5" s="7" t="s">
        <v>67</v>
      </c>
      <c r="B5" s="8">
        <v>760</v>
      </c>
      <c r="C5" s="8">
        <v>320</v>
      </c>
      <c r="D5" s="8">
        <v>160</v>
      </c>
      <c r="E5" s="8">
        <v>168</v>
      </c>
      <c r="F5" s="8">
        <v>112</v>
      </c>
      <c r="G5" s="9">
        <f>SUM(B5:F5)</f>
        <v>1520</v>
      </c>
      <c r="H5" s="28">
        <v>0.57999999999999996</v>
      </c>
    </row>
    <row r="6" spans="1:8" ht="18" customHeight="1" x14ac:dyDescent="0.2">
      <c r="A6" s="7" t="s">
        <v>68</v>
      </c>
      <c r="B6" s="8">
        <v>840</v>
      </c>
      <c r="C6" s="8">
        <v>355</v>
      </c>
      <c r="D6" s="8">
        <v>185</v>
      </c>
      <c r="E6" s="8">
        <v>172</v>
      </c>
      <c r="F6" s="8">
        <v>108</v>
      </c>
      <c r="G6" s="9">
        <f>SUM(B6:F6)</f>
        <v>1660</v>
      </c>
      <c r="H6" s="28">
        <v>0.64</v>
      </c>
    </row>
    <row r="7" spans="1:8" ht="18" customHeight="1" x14ac:dyDescent="0.2">
      <c r="A7" s="7" t="s">
        <v>69</v>
      </c>
      <c r="B7" s="8">
        <v>795</v>
      </c>
      <c r="C7" s="8">
        <v>320</v>
      </c>
      <c r="D7" s="8">
        <v>180</v>
      </c>
      <c r="E7" s="8">
        <v>174</v>
      </c>
      <c r="F7" s="8">
        <v>126</v>
      </c>
      <c r="G7" s="9">
        <f>SUM(B7:F7)</f>
        <v>1595</v>
      </c>
      <c r="H7" s="28">
        <v>0.6</v>
      </c>
    </row>
    <row r="8" spans="1:8" ht="18" customHeight="1" x14ac:dyDescent="0.2">
      <c r="A8" s="7" t="s">
        <v>70</v>
      </c>
      <c r="B8" s="8">
        <v>870</v>
      </c>
      <c r="C8" s="8">
        <v>355</v>
      </c>
      <c r="D8" s="8">
        <v>185</v>
      </c>
      <c r="E8" s="8">
        <v>178</v>
      </c>
      <c r="F8" s="8">
        <v>122</v>
      </c>
      <c r="G8" s="9">
        <f>SUM(B8:F8)</f>
        <v>1710</v>
      </c>
      <c r="H8" s="28">
        <v>0.66</v>
      </c>
    </row>
    <row r="9" spans="1:8" ht="19.5" customHeight="1" x14ac:dyDescent="0.2">
      <c r="A9" s="16" t="s">
        <v>71</v>
      </c>
      <c r="B9" s="9">
        <f t="shared" ref="B9:G9" si="0">SUM(B5:B8)</f>
        <v>3265</v>
      </c>
      <c r="C9" s="9">
        <f t="shared" si="0"/>
        <v>1350</v>
      </c>
      <c r="D9" s="9">
        <f t="shared" si="0"/>
        <v>710</v>
      </c>
      <c r="E9" s="9">
        <f t="shared" si="0"/>
        <v>692</v>
      </c>
      <c r="F9" s="9">
        <f t="shared" si="0"/>
        <v>468</v>
      </c>
      <c r="G9" s="9">
        <f t="shared" si="0"/>
        <v>6485</v>
      </c>
      <c r="H9" s="10">
        <f>AVERAGE(H5:H8)</f>
        <v>0.62</v>
      </c>
    </row>
    <row r="10" spans="1:8" x14ac:dyDescent="0.2">
      <c r="A10" s="13"/>
      <c r="B10" s="13"/>
      <c r="C10" s="13"/>
      <c r="D10" s="13"/>
      <c r="E10" s="13"/>
      <c r="F10" s="13"/>
      <c r="G10" s="13"/>
      <c r="H10" s="13"/>
    </row>
    <row r="11" spans="1:8" ht="21.75" customHeight="1" x14ac:dyDescent="0.2">
      <c r="A11" s="27" t="s">
        <v>72</v>
      </c>
      <c r="B11" s="27"/>
      <c r="C11" s="27"/>
      <c r="D11" s="27"/>
      <c r="E11" s="27"/>
      <c r="F11" s="27"/>
      <c r="G11" s="27"/>
      <c r="H11" s="27"/>
    </row>
    <row r="12" spans="1:8" ht="18" customHeight="1" x14ac:dyDescent="0.2">
      <c r="A12" s="5" t="s">
        <v>59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  <c r="G12" s="5" t="s">
        <v>65</v>
      </c>
      <c r="H12" s="6" t="s">
        <v>66</v>
      </c>
    </row>
    <row r="13" spans="1:8" ht="18" customHeight="1" x14ac:dyDescent="0.2">
      <c r="A13" s="7" t="s">
        <v>73</v>
      </c>
      <c r="B13" s="8">
        <v>720</v>
      </c>
      <c r="C13" s="8">
        <v>305</v>
      </c>
      <c r="D13" s="8">
        <v>160</v>
      </c>
      <c r="E13" s="8">
        <v>180</v>
      </c>
      <c r="F13" s="8">
        <v>120</v>
      </c>
      <c r="G13" s="9">
        <f>SUM(B13:F13)</f>
        <v>1485</v>
      </c>
      <c r="H13" s="28">
        <v>0.55000000000000004</v>
      </c>
    </row>
    <row r="14" spans="1:8" ht="18" customHeight="1" x14ac:dyDescent="0.2">
      <c r="A14" s="7" t="s">
        <v>74</v>
      </c>
      <c r="B14" s="8">
        <v>800</v>
      </c>
      <c r="C14" s="8">
        <v>340</v>
      </c>
      <c r="D14" s="8">
        <v>180</v>
      </c>
      <c r="E14" s="8">
        <v>185</v>
      </c>
      <c r="F14" s="8">
        <v>115</v>
      </c>
      <c r="G14" s="9">
        <f>SUM(B14:F14)</f>
        <v>1620</v>
      </c>
      <c r="H14" s="28">
        <v>0.62</v>
      </c>
    </row>
    <row r="15" spans="1:8" ht="18" customHeight="1" x14ac:dyDescent="0.2">
      <c r="A15" s="7" t="s">
        <v>75</v>
      </c>
      <c r="B15" s="8">
        <v>770</v>
      </c>
      <c r="C15" s="8">
        <v>310</v>
      </c>
      <c r="D15" s="8">
        <v>180</v>
      </c>
      <c r="E15" s="8">
        <v>188</v>
      </c>
      <c r="F15" s="8">
        <v>112</v>
      </c>
      <c r="G15" s="9">
        <f>SUM(B15:F15)</f>
        <v>1560</v>
      </c>
      <c r="H15" s="28">
        <v>0.59</v>
      </c>
    </row>
    <row r="16" spans="1:8" ht="18" customHeight="1" x14ac:dyDescent="0.2">
      <c r="A16" s="7" t="s">
        <v>76</v>
      </c>
      <c r="B16" s="8">
        <v>855</v>
      </c>
      <c r="C16" s="8">
        <v>355</v>
      </c>
      <c r="D16" s="8">
        <v>185</v>
      </c>
      <c r="E16" s="8">
        <v>192</v>
      </c>
      <c r="F16" s="8">
        <v>118</v>
      </c>
      <c r="G16" s="9">
        <f>SUM(B16:F16)</f>
        <v>1705</v>
      </c>
      <c r="H16" s="28">
        <v>0.65</v>
      </c>
    </row>
    <row r="17" spans="1:8" ht="19.5" customHeight="1" x14ac:dyDescent="0.2">
      <c r="A17" s="16" t="s">
        <v>77</v>
      </c>
      <c r="B17" s="9">
        <f t="shared" ref="B17:G17" si="1">SUM(B13:B16)</f>
        <v>3145</v>
      </c>
      <c r="C17" s="9">
        <f t="shared" si="1"/>
        <v>1310</v>
      </c>
      <c r="D17" s="9">
        <f t="shared" si="1"/>
        <v>705</v>
      </c>
      <c r="E17" s="9">
        <f t="shared" si="1"/>
        <v>745</v>
      </c>
      <c r="F17" s="9">
        <f t="shared" si="1"/>
        <v>465</v>
      </c>
      <c r="G17" s="9">
        <f t="shared" si="1"/>
        <v>6370</v>
      </c>
      <c r="H17" s="10">
        <f>AVERAGE(H13:H16)</f>
        <v>0.60249999999999992</v>
      </c>
    </row>
    <row r="18" spans="1:8" x14ac:dyDescent="0.2">
      <c r="A18" s="13"/>
      <c r="B18" s="13"/>
      <c r="C18" s="13"/>
      <c r="D18" s="13"/>
      <c r="E18" s="13"/>
      <c r="F18" s="13"/>
      <c r="G18" s="13"/>
      <c r="H18" s="13"/>
    </row>
    <row r="19" spans="1:8" ht="21.75" customHeight="1" x14ac:dyDescent="0.2">
      <c r="A19" s="27" t="s">
        <v>78</v>
      </c>
      <c r="B19" s="27"/>
      <c r="C19" s="27"/>
      <c r="D19" s="27"/>
      <c r="E19" s="27"/>
      <c r="F19" s="27"/>
      <c r="G19" s="27"/>
      <c r="H19" s="27"/>
    </row>
    <row r="20" spans="1:8" ht="18" customHeight="1" x14ac:dyDescent="0.2">
      <c r="A20" s="5" t="s">
        <v>59</v>
      </c>
      <c r="B20" s="5" t="s">
        <v>60</v>
      </c>
      <c r="C20" s="5" t="s">
        <v>61</v>
      </c>
      <c r="D20" s="5" t="s">
        <v>62</v>
      </c>
      <c r="E20" s="5" t="s">
        <v>63</v>
      </c>
      <c r="F20" s="5" t="s">
        <v>64</v>
      </c>
      <c r="G20" s="5" t="s">
        <v>65</v>
      </c>
      <c r="H20" s="6" t="s">
        <v>66</v>
      </c>
    </row>
    <row r="21" spans="1:8" ht="18" customHeight="1" x14ac:dyDescent="0.2">
      <c r="A21" s="7" t="s">
        <v>79</v>
      </c>
      <c r="B21" s="8">
        <v>870</v>
      </c>
      <c r="C21" s="8">
        <v>380</v>
      </c>
      <c r="D21" s="8">
        <v>195</v>
      </c>
      <c r="E21" s="8">
        <v>192</v>
      </c>
      <c r="F21" s="8">
        <v>143</v>
      </c>
      <c r="G21" s="9">
        <f>SUM(B21:F21)</f>
        <v>1780</v>
      </c>
      <c r="H21" s="28">
        <v>0.68</v>
      </c>
    </row>
    <row r="22" spans="1:8" ht="18" customHeight="1" x14ac:dyDescent="0.2">
      <c r="A22" s="7" t="s">
        <v>80</v>
      </c>
      <c r="B22" s="8">
        <v>940</v>
      </c>
      <c r="C22" s="8">
        <v>410</v>
      </c>
      <c r="D22" s="8">
        <v>215</v>
      </c>
      <c r="E22" s="8">
        <v>196</v>
      </c>
      <c r="F22" s="8">
        <v>149</v>
      </c>
      <c r="G22" s="9">
        <f>SUM(B22:F22)</f>
        <v>1910</v>
      </c>
      <c r="H22" s="28">
        <v>0.74</v>
      </c>
    </row>
    <row r="23" spans="1:8" ht="18" customHeight="1" x14ac:dyDescent="0.2">
      <c r="A23" s="7" t="s">
        <v>81</v>
      </c>
      <c r="B23" s="8">
        <v>980</v>
      </c>
      <c r="C23" s="8">
        <v>410</v>
      </c>
      <c r="D23" s="8">
        <v>205</v>
      </c>
      <c r="E23" s="8">
        <v>198</v>
      </c>
      <c r="F23" s="8">
        <v>157</v>
      </c>
      <c r="G23" s="9">
        <f>SUM(B23:F23)</f>
        <v>1950</v>
      </c>
      <c r="H23" s="28">
        <v>0.76</v>
      </c>
    </row>
    <row r="24" spans="1:8" ht="18" customHeight="1" x14ac:dyDescent="0.2">
      <c r="A24" s="7" t="s">
        <v>82</v>
      </c>
      <c r="B24" s="8">
        <v>990</v>
      </c>
      <c r="C24" s="8">
        <v>420</v>
      </c>
      <c r="D24" s="8">
        <v>195</v>
      </c>
      <c r="E24" s="8">
        <v>204</v>
      </c>
      <c r="F24" s="8">
        <v>161</v>
      </c>
      <c r="G24" s="9">
        <f>SUM(B24:F24)</f>
        <v>1970</v>
      </c>
      <c r="H24" s="28">
        <v>0.78</v>
      </c>
    </row>
    <row r="25" spans="1:8" ht="19.5" customHeight="1" x14ac:dyDescent="0.2">
      <c r="A25" s="16" t="s">
        <v>83</v>
      </c>
      <c r="B25" s="9">
        <f t="shared" ref="B25:G25" si="2">SUM(B21:B24)</f>
        <v>3780</v>
      </c>
      <c r="C25" s="9">
        <f t="shared" si="2"/>
        <v>1620</v>
      </c>
      <c r="D25" s="9">
        <f t="shared" si="2"/>
        <v>810</v>
      </c>
      <c r="E25" s="9">
        <f t="shared" si="2"/>
        <v>790</v>
      </c>
      <c r="F25" s="9">
        <f t="shared" si="2"/>
        <v>610</v>
      </c>
      <c r="G25" s="9">
        <f t="shared" si="2"/>
        <v>7610</v>
      </c>
      <c r="H25" s="10">
        <f>AVERAGE(H21:H24)</f>
        <v>0.74</v>
      </c>
    </row>
    <row r="26" spans="1:8" x14ac:dyDescent="0.2">
      <c r="A26" s="13"/>
      <c r="B26" s="13"/>
      <c r="C26" s="13"/>
      <c r="D26" s="13"/>
      <c r="E26" s="13"/>
      <c r="F26" s="13"/>
      <c r="G26" s="13"/>
      <c r="H26" s="13"/>
    </row>
    <row r="27" spans="1:8" ht="21.75" customHeight="1" x14ac:dyDescent="0.2">
      <c r="A27" s="27" t="s">
        <v>84</v>
      </c>
      <c r="B27" s="27"/>
      <c r="C27" s="27"/>
      <c r="D27" s="27"/>
      <c r="E27" s="27"/>
      <c r="F27" s="27"/>
      <c r="G27" s="27"/>
      <c r="H27" s="27"/>
    </row>
    <row r="28" spans="1:8" ht="18" customHeight="1" x14ac:dyDescent="0.2">
      <c r="A28" s="5" t="s">
        <v>59</v>
      </c>
      <c r="B28" s="5" t="s">
        <v>60</v>
      </c>
      <c r="C28" s="5" t="s">
        <v>61</v>
      </c>
      <c r="D28" s="5" t="s">
        <v>62</v>
      </c>
      <c r="E28" s="5" t="s">
        <v>63</v>
      </c>
      <c r="F28" s="5" t="s">
        <v>64</v>
      </c>
      <c r="G28" s="5" t="s">
        <v>65</v>
      </c>
      <c r="H28" s="6" t="s">
        <v>66</v>
      </c>
    </row>
    <row r="29" spans="1:8" ht="18" customHeight="1" x14ac:dyDescent="0.2">
      <c r="A29" s="7" t="s">
        <v>85</v>
      </c>
      <c r="B29" s="8">
        <v>1040</v>
      </c>
      <c r="C29" s="8">
        <v>450</v>
      </c>
      <c r="D29" s="8">
        <v>230</v>
      </c>
      <c r="E29" s="8">
        <v>208</v>
      </c>
      <c r="F29" s="8">
        <v>172</v>
      </c>
      <c r="G29" s="9">
        <f>SUM(B29:F29)</f>
        <v>2100</v>
      </c>
      <c r="H29" s="28">
        <v>0.81</v>
      </c>
    </row>
    <row r="30" spans="1:8" ht="18" customHeight="1" x14ac:dyDescent="0.2">
      <c r="A30" s="7" t="s">
        <v>86</v>
      </c>
      <c r="B30" s="8">
        <v>1090</v>
      </c>
      <c r="C30" s="8">
        <v>470</v>
      </c>
      <c r="D30" s="8">
        <v>260</v>
      </c>
      <c r="E30" s="8">
        <v>212</v>
      </c>
      <c r="F30" s="8">
        <v>188</v>
      </c>
      <c r="G30" s="9">
        <f>SUM(B30:F30)</f>
        <v>2220</v>
      </c>
      <c r="H30" s="28">
        <v>0.85</v>
      </c>
    </row>
    <row r="31" spans="1:8" ht="18" customHeight="1" x14ac:dyDescent="0.2">
      <c r="A31" s="7" t="s">
        <v>87</v>
      </c>
      <c r="B31" s="8">
        <v>1080</v>
      </c>
      <c r="C31" s="8">
        <v>460</v>
      </c>
      <c r="D31" s="8">
        <v>250</v>
      </c>
      <c r="E31" s="8">
        <v>218</v>
      </c>
      <c r="F31" s="8">
        <v>182</v>
      </c>
      <c r="G31" s="9">
        <f>SUM(B31:F31)</f>
        <v>2190</v>
      </c>
      <c r="H31" s="28">
        <v>0.84</v>
      </c>
    </row>
    <row r="32" spans="1:8" ht="18" customHeight="1" x14ac:dyDescent="0.2">
      <c r="A32" s="7" t="s">
        <v>88</v>
      </c>
      <c r="B32" s="8">
        <v>1070</v>
      </c>
      <c r="C32" s="8">
        <v>460</v>
      </c>
      <c r="D32" s="8">
        <v>220</v>
      </c>
      <c r="E32" s="8">
        <v>222</v>
      </c>
      <c r="F32" s="8">
        <v>178</v>
      </c>
      <c r="G32" s="9">
        <f>SUM(B32:F32)</f>
        <v>2150</v>
      </c>
      <c r="H32" s="28">
        <v>0.83</v>
      </c>
    </row>
    <row r="33" spans="1:8" ht="19.5" customHeight="1" x14ac:dyDescent="0.2">
      <c r="A33" s="16" t="s">
        <v>89</v>
      </c>
      <c r="B33" s="9">
        <f t="shared" ref="B33:G33" si="3">SUM(B29:B32)</f>
        <v>4280</v>
      </c>
      <c r="C33" s="9">
        <f t="shared" si="3"/>
        <v>1840</v>
      </c>
      <c r="D33" s="9">
        <f t="shared" si="3"/>
        <v>960</v>
      </c>
      <c r="E33" s="9">
        <f t="shared" si="3"/>
        <v>860</v>
      </c>
      <c r="F33" s="9">
        <f t="shared" si="3"/>
        <v>720</v>
      </c>
      <c r="G33" s="9">
        <f t="shared" si="3"/>
        <v>8660</v>
      </c>
      <c r="H33" s="10">
        <f>AVERAGE(H29:H32)</f>
        <v>0.83250000000000002</v>
      </c>
    </row>
    <row r="34" spans="1:8" x14ac:dyDescent="0.2">
      <c r="A34" s="13"/>
      <c r="B34" s="13"/>
      <c r="C34" s="13"/>
      <c r="D34" s="13"/>
      <c r="E34" s="13"/>
      <c r="F34" s="13"/>
      <c r="G34" s="13"/>
      <c r="H34" s="13"/>
    </row>
    <row r="35" spans="1:8" ht="21.75" customHeight="1" x14ac:dyDescent="0.2">
      <c r="A35" s="27" t="s">
        <v>90</v>
      </c>
      <c r="B35" s="27"/>
      <c r="C35" s="27"/>
      <c r="D35" s="27"/>
      <c r="E35" s="27"/>
      <c r="F35" s="27"/>
      <c r="G35" s="27"/>
      <c r="H35" s="27"/>
    </row>
    <row r="36" spans="1:8" ht="18" customHeight="1" x14ac:dyDescent="0.2">
      <c r="A36" s="5" t="s">
        <v>59</v>
      </c>
      <c r="B36" s="5" t="s">
        <v>60</v>
      </c>
      <c r="C36" s="5" t="s">
        <v>61</v>
      </c>
      <c r="D36" s="5" t="s">
        <v>62</v>
      </c>
      <c r="E36" s="5" t="s">
        <v>63</v>
      </c>
      <c r="F36" s="5" t="s">
        <v>64</v>
      </c>
      <c r="G36" s="5" t="s">
        <v>65</v>
      </c>
      <c r="H36" s="6" t="s">
        <v>66</v>
      </c>
    </row>
    <row r="37" spans="1:8" ht="18" customHeight="1" x14ac:dyDescent="0.2">
      <c r="A37" s="7" t="s">
        <v>91</v>
      </c>
      <c r="B37" s="8">
        <v>1220</v>
      </c>
      <c r="C37" s="8">
        <v>530</v>
      </c>
      <c r="D37" s="8">
        <v>310</v>
      </c>
      <c r="E37" s="8">
        <v>228</v>
      </c>
      <c r="F37" s="8">
        <v>212</v>
      </c>
      <c r="G37" s="9">
        <f>SUM(B37:F37)</f>
        <v>2500</v>
      </c>
      <c r="H37" s="28">
        <v>0.96</v>
      </c>
    </row>
    <row r="38" spans="1:8" ht="18" customHeight="1" x14ac:dyDescent="0.2">
      <c r="A38" s="7" t="s">
        <v>92</v>
      </c>
      <c r="B38" s="8">
        <v>1290</v>
      </c>
      <c r="C38" s="8">
        <v>545</v>
      </c>
      <c r="D38" s="8">
        <v>310</v>
      </c>
      <c r="E38" s="8">
        <v>235</v>
      </c>
      <c r="F38" s="8">
        <v>220</v>
      </c>
      <c r="G38" s="9">
        <f>SUM(B38:F38)</f>
        <v>2600</v>
      </c>
      <c r="H38" s="28">
        <v>1.01</v>
      </c>
    </row>
    <row r="39" spans="1:8" ht="18" customHeight="1" x14ac:dyDescent="0.2">
      <c r="A39" s="7" t="s">
        <v>93</v>
      </c>
      <c r="B39" s="8">
        <v>1310</v>
      </c>
      <c r="C39" s="8">
        <v>540</v>
      </c>
      <c r="D39" s="8">
        <v>300</v>
      </c>
      <c r="E39" s="8">
        <v>245</v>
      </c>
      <c r="F39" s="8">
        <v>225</v>
      </c>
      <c r="G39" s="9">
        <f>SUM(B39:F39)</f>
        <v>2620</v>
      </c>
      <c r="H39" s="28">
        <v>1.02</v>
      </c>
    </row>
    <row r="40" spans="1:8" ht="18" customHeight="1" x14ac:dyDescent="0.2">
      <c r="A40" s="7" t="s">
        <v>94</v>
      </c>
      <c r="B40" s="8">
        <v>1280</v>
      </c>
      <c r="C40" s="8">
        <v>535</v>
      </c>
      <c r="D40" s="8">
        <v>280</v>
      </c>
      <c r="E40" s="8">
        <v>252</v>
      </c>
      <c r="F40" s="8">
        <v>218</v>
      </c>
      <c r="G40" s="9">
        <f>SUM(B40:F40)</f>
        <v>2565</v>
      </c>
      <c r="H40" s="28">
        <v>0.99</v>
      </c>
    </row>
    <row r="41" spans="1:8" ht="19.5" customHeight="1" x14ac:dyDescent="0.2">
      <c r="A41" s="16" t="s">
        <v>95</v>
      </c>
      <c r="B41" s="9">
        <f t="shared" ref="B41:G41" si="4">SUM(B37:B40)</f>
        <v>5100</v>
      </c>
      <c r="C41" s="9">
        <f t="shared" si="4"/>
        <v>2150</v>
      </c>
      <c r="D41" s="9">
        <f t="shared" si="4"/>
        <v>1200</v>
      </c>
      <c r="E41" s="9">
        <f t="shared" si="4"/>
        <v>960</v>
      </c>
      <c r="F41" s="9">
        <f t="shared" si="4"/>
        <v>875</v>
      </c>
      <c r="G41" s="9">
        <f t="shared" si="4"/>
        <v>10285</v>
      </c>
      <c r="H41" s="10">
        <f>AVERAGE(H37:H40)</f>
        <v>0.99500000000000011</v>
      </c>
    </row>
    <row r="42" spans="1:8" x14ac:dyDescent="0.2">
      <c r="A42" s="13"/>
      <c r="B42" s="13"/>
      <c r="C42" s="13"/>
      <c r="D42" s="13"/>
      <c r="E42" s="13"/>
      <c r="F42" s="13"/>
      <c r="G42" s="13"/>
      <c r="H42" s="13"/>
    </row>
    <row r="43" spans="1:8" ht="21.75" customHeight="1" x14ac:dyDescent="0.2">
      <c r="A43" s="27" t="s">
        <v>96</v>
      </c>
      <c r="B43" s="27"/>
      <c r="C43" s="27"/>
      <c r="D43" s="27"/>
      <c r="E43" s="27"/>
      <c r="F43" s="27"/>
      <c r="G43" s="27"/>
      <c r="H43" s="27"/>
    </row>
    <row r="44" spans="1:8" ht="18" customHeight="1" x14ac:dyDescent="0.2">
      <c r="A44" s="5" t="s">
        <v>59</v>
      </c>
      <c r="B44" s="5" t="s">
        <v>60</v>
      </c>
      <c r="C44" s="5" t="s">
        <v>61</v>
      </c>
      <c r="D44" s="5" t="s">
        <v>62</v>
      </c>
      <c r="E44" s="5" t="s">
        <v>63</v>
      </c>
      <c r="F44" s="5" t="s">
        <v>64</v>
      </c>
      <c r="G44" s="5" t="s">
        <v>65</v>
      </c>
      <c r="H44" s="6" t="s">
        <v>66</v>
      </c>
    </row>
    <row r="45" spans="1:8" ht="18" customHeight="1" x14ac:dyDescent="0.2">
      <c r="A45" s="7" t="s">
        <v>97</v>
      </c>
      <c r="B45" s="8">
        <v>1350</v>
      </c>
      <c r="C45" s="8">
        <v>560</v>
      </c>
      <c r="D45" s="8">
        <v>320</v>
      </c>
      <c r="E45" s="8">
        <v>258</v>
      </c>
      <c r="F45" s="8">
        <v>242</v>
      </c>
      <c r="G45" s="9">
        <f>SUM(B45:F45)</f>
        <v>2730</v>
      </c>
      <c r="H45" s="28">
        <v>1.05</v>
      </c>
    </row>
    <row r="46" spans="1:8" ht="18" customHeight="1" x14ac:dyDescent="0.2">
      <c r="A46" s="7" t="s">
        <v>98</v>
      </c>
      <c r="B46" s="8">
        <v>1390</v>
      </c>
      <c r="C46" s="8">
        <v>580</v>
      </c>
      <c r="D46" s="8">
        <v>330</v>
      </c>
      <c r="E46" s="8">
        <v>265</v>
      </c>
      <c r="F46" s="8">
        <v>245</v>
      </c>
      <c r="G46" s="9">
        <f>SUM(B46:F46)</f>
        <v>2810</v>
      </c>
      <c r="H46" s="28">
        <v>1.08</v>
      </c>
    </row>
    <row r="47" spans="1:8" ht="18" customHeight="1" x14ac:dyDescent="0.2">
      <c r="A47" s="7" t="s">
        <v>99</v>
      </c>
      <c r="B47" s="8">
        <v>1400</v>
      </c>
      <c r="C47" s="8">
        <v>575</v>
      </c>
      <c r="D47" s="8">
        <v>340</v>
      </c>
      <c r="E47" s="8">
        <v>272</v>
      </c>
      <c r="F47" s="8">
        <v>253</v>
      </c>
      <c r="G47" s="9">
        <f>SUM(B47:F47)</f>
        <v>2840</v>
      </c>
      <c r="H47" s="28">
        <v>1.0900000000000001</v>
      </c>
    </row>
    <row r="48" spans="1:8" ht="18" customHeight="1" x14ac:dyDescent="0.2">
      <c r="A48" s="7" t="s">
        <v>100</v>
      </c>
      <c r="B48" s="8">
        <v>1390</v>
      </c>
      <c r="C48" s="8">
        <v>575</v>
      </c>
      <c r="D48" s="8">
        <v>310</v>
      </c>
      <c r="E48" s="8">
        <v>275</v>
      </c>
      <c r="F48" s="8">
        <v>250</v>
      </c>
      <c r="G48" s="9">
        <f>SUM(B48:F48)</f>
        <v>2800</v>
      </c>
      <c r="H48" s="28">
        <v>1.07</v>
      </c>
    </row>
    <row r="49" spans="1:8" ht="19.5" customHeight="1" x14ac:dyDescent="0.2">
      <c r="A49" s="23" t="s">
        <v>101</v>
      </c>
      <c r="B49" s="29">
        <f t="shared" ref="B49:G49" si="5">SUM(B45:B48)</f>
        <v>5530</v>
      </c>
      <c r="C49" s="29">
        <f t="shared" si="5"/>
        <v>2290</v>
      </c>
      <c r="D49" s="29">
        <f t="shared" si="5"/>
        <v>1300</v>
      </c>
      <c r="E49" s="29">
        <f t="shared" si="5"/>
        <v>1070</v>
      </c>
      <c r="F49" s="29">
        <f t="shared" si="5"/>
        <v>990</v>
      </c>
      <c r="G49" s="29">
        <f t="shared" si="5"/>
        <v>11180</v>
      </c>
      <c r="H49" s="25">
        <f>AVERAGE(H45:H48)</f>
        <v>1.0725</v>
      </c>
    </row>
  </sheetData>
  <mergeCells count="7">
    <mergeCell ref="A35:H35"/>
    <mergeCell ref="A43:H43"/>
    <mergeCell ref="A1:H1"/>
    <mergeCell ref="A3:H3"/>
    <mergeCell ref="A11:H11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showGridLines="0" zoomScaleNormal="100" workbookViewId="0">
      <selection sqref="A1:I1"/>
    </sheetView>
  </sheetViews>
  <sheetFormatPr baseColWidth="10" defaultColWidth="8.6640625" defaultRowHeight="15" x14ac:dyDescent="0.2"/>
  <cols>
    <col min="1" max="1" width="18" customWidth="1"/>
    <col min="2" max="2" width="8" customWidth="1"/>
    <col min="3" max="3" width="14" customWidth="1"/>
    <col min="4" max="5" width="12" customWidth="1"/>
    <col min="6" max="7" width="16" customWidth="1"/>
    <col min="8" max="8" width="12" customWidth="1"/>
    <col min="9" max="9" width="40" customWidth="1"/>
  </cols>
  <sheetData>
    <row r="1" spans="1:9" ht="34.5" customHeight="1" x14ac:dyDescent="0.2">
      <c r="A1" s="26" t="s">
        <v>102</v>
      </c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3"/>
      <c r="B2" s="3"/>
      <c r="C2" s="30"/>
      <c r="D2" s="30"/>
      <c r="E2" s="30"/>
      <c r="F2" s="30"/>
      <c r="G2" s="30"/>
      <c r="H2" s="30"/>
      <c r="I2" s="30"/>
    </row>
    <row r="3" spans="1:9" ht="19.5" customHeight="1" x14ac:dyDescent="0.2">
      <c r="A3" s="31" t="s">
        <v>103</v>
      </c>
      <c r="B3" s="31"/>
      <c r="C3" s="30"/>
      <c r="D3" s="30"/>
      <c r="E3" s="30"/>
      <c r="F3" s="30"/>
      <c r="G3" s="30"/>
      <c r="H3" s="30"/>
      <c r="I3" s="30"/>
    </row>
    <row r="4" spans="1:9" ht="42" x14ac:dyDescent="0.2">
      <c r="A4" s="5" t="s">
        <v>104</v>
      </c>
      <c r="B4" s="6" t="s">
        <v>105</v>
      </c>
      <c r="C4" s="32"/>
      <c r="D4" s="30"/>
      <c r="E4" s="30"/>
      <c r="F4" s="30"/>
      <c r="G4" s="30"/>
      <c r="H4" s="30"/>
      <c r="I4" s="30"/>
    </row>
    <row r="5" spans="1:9" ht="18" customHeight="1" x14ac:dyDescent="0.2">
      <c r="A5" s="7" t="s">
        <v>106</v>
      </c>
      <c r="B5" s="22" t="s">
        <v>107</v>
      </c>
      <c r="C5" s="32"/>
      <c r="D5" s="30"/>
      <c r="E5" s="30"/>
      <c r="F5" s="30"/>
      <c r="G5" s="30"/>
      <c r="H5" s="30"/>
      <c r="I5" s="30"/>
    </row>
    <row r="6" spans="1:9" ht="18" customHeight="1" x14ac:dyDescent="0.2">
      <c r="A6" s="7" t="s">
        <v>39</v>
      </c>
      <c r="B6" s="22" t="s">
        <v>108</v>
      </c>
      <c r="C6" s="32"/>
      <c r="D6" s="30"/>
      <c r="E6" s="30"/>
      <c r="F6" s="30"/>
      <c r="G6" s="30"/>
      <c r="H6" s="30"/>
      <c r="I6" s="30"/>
    </row>
    <row r="7" spans="1:9" ht="18" customHeight="1" x14ac:dyDescent="0.2">
      <c r="A7" s="7" t="s">
        <v>109</v>
      </c>
      <c r="B7" s="22" t="s">
        <v>110</v>
      </c>
      <c r="C7" s="32"/>
      <c r="D7" s="30"/>
      <c r="E7" s="30"/>
      <c r="F7" s="30"/>
      <c r="G7" s="30"/>
      <c r="H7" s="30"/>
      <c r="I7" s="30"/>
    </row>
    <row r="8" spans="1:9" ht="18" customHeight="1" x14ac:dyDescent="0.2">
      <c r="A8" s="7" t="s">
        <v>111</v>
      </c>
      <c r="B8" s="22" t="s">
        <v>112</v>
      </c>
      <c r="C8" s="32"/>
      <c r="D8" s="30"/>
      <c r="E8" s="30"/>
      <c r="F8" s="30"/>
      <c r="G8" s="30"/>
      <c r="H8" s="30"/>
      <c r="I8" s="30"/>
    </row>
    <row r="9" spans="1:9" ht="18" customHeight="1" x14ac:dyDescent="0.2">
      <c r="A9" s="7" t="s">
        <v>113</v>
      </c>
      <c r="B9" s="22" t="s">
        <v>114</v>
      </c>
      <c r="C9" s="32"/>
      <c r="D9" s="30"/>
      <c r="E9" s="30"/>
      <c r="F9" s="30"/>
      <c r="G9" s="30"/>
      <c r="H9" s="30"/>
      <c r="I9" s="30"/>
    </row>
    <row r="10" spans="1:9" x14ac:dyDescent="0.2">
      <c r="A10" s="13"/>
      <c r="B10" s="13"/>
      <c r="C10" s="3"/>
      <c r="D10" s="3"/>
      <c r="E10" s="3"/>
      <c r="F10" s="3"/>
      <c r="G10" s="3"/>
      <c r="H10" s="3"/>
      <c r="I10" s="3"/>
    </row>
    <row r="11" spans="1:9" ht="21.75" customHeight="1" x14ac:dyDescent="0.2">
      <c r="A11" s="31" t="s">
        <v>115</v>
      </c>
      <c r="B11" s="31"/>
      <c r="C11" s="31"/>
      <c r="D11" s="31"/>
      <c r="E11" s="31"/>
      <c r="F11" s="31"/>
      <c r="G11" s="31"/>
      <c r="H11" s="31"/>
      <c r="I11" s="31"/>
    </row>
    <row r="12" spans="1:9" ht="18" customHeight="1" x14ac:dyDescent="0.2">
      <c r="A12" s="5" t="s">
        <v>59</v>
      </c>
      <c r="B12" s="5" t="s">
        <v>106</v>
      </c>
      <c r="C12" s="5" t="s">
        <v>116</v>
      </c>
      <c r="D12" s="5" t="s">
        <v>117</v>
      </c>
      <c r="E12" s="5" t="s">
        <v>118</v>
      </c>
      <c r="F12" s="5" t="s">
        <v>119</v>
      </c>
      <c r="G12" s="5" t="s">
        <v>120</v>
      </c>
      <c r="H12" s="5" t="s">
        <v>121</v>
      </c>
      <c r="I12" s="6" t="s">
        <v>122</v>
      </c>
    </row>
    <row r="13" spans="1:9" ht="19.5" customHeight="1" x14ac:dyDescent="0.2">
      <c r="A13" s="7" t="s">
        <v>123</v>
      </c>
      <c r="B13" s="20">
        <v>7.3</v>
      </c>
      <c r="C13" s="20">
        <v>1.1000000000000001</v>
      </c>
      <c r="D13" s="20">
        <v>27.5</v>
      </c>
      <c r="E13" s="20">
        <v>0.22</v>
      </c>
      <c r="F13" s="20">
        <v>0.18</v>
      </c>
      <c r="G13" s="7" t="s">
        <v>314</v>
      </c>
      <c r="H13" s="20">
        <v>0</v>
      </c>
      <c r="I13" s="33" t="s">
        <v>124</v>
      </c>
    </row>
    <row r="14" spans="1:9" ht="19.5" customHeight="1" x14ac:dyDescent="0.2">
      <c r="A14" s="7" t="s">
        <v>125</v>
      </c>
      <c r="B14" s="20">
        <v>7.4</v>
      </c>
      <c r="C14" s="20">
        <v>1</v>
      </c>
      <c r="D14" s="20">
        <v>27.8</v>
      </c>
      <c r="E14" s="20">
        <v>0.25</v>
      </c>
      <c r="F14" s="20">
        <v>0.2</v>
      </c>
      <c r="G14" s="7" t="s">
        <v>314</v>
      </c>
      <c r="H14" s="20">
        <v>0</v>
      </c>
      <c r="I14" s="33" t="s">
        <v>124</v>
      </c>
    </row>
    <row r="15" spans="1:9" ht="19.5" customHeight="1" x14ac:dyDescent="0.2">
      <c r="A15" s="7" t="s">
        <v>126</v>
      </c>
      <c r="B15" s="20">
        <v>7.3</v>
      </c>
      <c r="C15" s="20">
        <v>1.2</v>
      </c>
      <c r="D15" s="20">
        <v>27.6</v>
      </c>
      <c r="E15" s="20">
        <v>0.21</v>
      </c>
      <c r="F15" s="20">
        <v>0.17</v>
      </c>
      <c r="G15" s="7" t="s">
        <v>315</v>
      </c>
      <c r="H15" s="20">
        <v>1</v>
      </c>
      <c r="I15" s="33" t="s">
        <v>127</v>
      </c>
    </row>
    <row r="16" spans="1:9" ht="19.5" customHeight="1" x14ac:dyDescent="0.2">
      <c r="A16" s="7" t="s">
        <v>128</v>
      </c>
      <c r="B16" s="20">
        <v>7.5</v>
      </c>
      <c r="C16" s="20">
        <v>0.9</v>
      </c>
      <c r="D16" s="20">
        <v>27.9</v>
      </c>
      <c r="E16" s="20">
        <v>0.28000000000000003</v>
      </c>
      <c r="F16" s="20">
        <v>0.22</v>
      </c>
      <c r="G16" s="7" t="s">
        <v>314</v>
      </c>
      <c r="H16" s="20">
        <v>0</v>
      </c>
      <c r="I16" s="33" t="s">
        <v>124</v>
      </c>
    </row>
    <row r="17" spans="1:9" ht="19.5" customHeight="1" x14ac:dyDescent="0.2">
      <c r="A17" s="7" t="s">
        <v>129</v>
      </c>
      <c r="B17" s="20">
        <v>7.4</v>
      </c>
      <c r="C17" s="20">
        <v>1</v>
      </c>
      <c r="D17" s="20">
        <v>28</v>
      </c>
      <c r="E17" s="20">
        <v>0.24</v>
      </c>
      <c r="F17" s="20">
        <v>0.19</v>
      </c>
      <c r="G17" s="7" t="s">
        <v>314</v>
      </c>
      <c r="H17" s="20">
        <v>0</v>
      </c>
      <c r="I17" s="33" t="s">
        <v>124</v>
      </c>
    </row>
    <row r="18" spans="1:9" ht="19.5" customHeight="1" x14ac:dyDescent="0.2">
      <c r="A18" s="7" t="s">
        <v>130</v>
      </c>
      <c r="B18" s="20">
        <v>7.3</v>
      </c>
      <c r="C18" s="20">
        <v>1.1000000000000001</v>
      </c>
      <c r="D18" s="20">
        <v>27.7</v>
      </c>
      <c r="E18" s="20">
        <v>0.26</v>
      </c>
      <c r="F18" s="20">
        <v>0.21</v>
      </c>
      <c r="G18" s="7" t="s">
        <v>315</v>
      </c>
      <c r="H18" s="20">
        <v>1</v>
      </c>
      <c r="I18" s="33" t="s">
        <v>131</v>
      </c>
    </row>
    <row r="19" spans="1:9" ht="19.5" customHeight="1" x14ac:dyDescent="0.2">
      <c r="A19" s="7" t="s">
        <v>132</v>
      </c>
      <c r="B19" s="20">
        <v>7.5</v>
      </c>
      <c r="C19" s="20">
        <v>0.8</v>
      </c>
      <c r="D19" s="20">
        <v>28.1</v>
      </c>
      <c r="E19" s="20">
        <v>0.22</v>
      </c>
      <c r="F19" s="20">
        <v>0.16</v>
      </c>
      <c r="G19" s="7" t="s">
        <v>314</v>
      </c>
      <c r="H19" s="20">
        <v>0</v>
      </c>
      <c r="I19" s="33" t="s">
        <v>124</v>
      </c>
    </row>
    <row r="20" spans="1:9" ht="19.5" customHeight="1" x14ac:dyDescent="0.2">
      <c r="A20" s="7" t="s">
        <v>133</v>
      </c>
      <c r="B20" s="20">
        <v>7.4</v>
      </c>
      <c r="C20" s="20">
        <v>1.2</v>
      </c>
      <c r="D20" s="20">
        <v>27.8</v>
      </c>
      <c r="E20" s="20">
        <v>0.28999999999999998</v>
      </c>
      <c r="F20" s="20">
        <v>0.2</v>
      </c>
      <c r="G20" s="7" t="s">
        <v>314</v>
      </c>
      <c r="H20" s="20">
        <v>0</v>
      </c>
      <c r="I20" s="33" t="s">
        <v>124</v>
      </c>
    </row>
    <row r="21" spans="1:9" ht="19.5" customHeight="1" x14ac:dyDescent="0.2">
      <c r="A21" s="7" t="s">
        <v>134</v>
      </c>
      <c r="B21" s="20">
        <v>7.3</v>
      </c>
      <c r="C21" s="20">
        <v>1</v>
      </c>
      <c r="D21" s="20">
        <v>28</v>
      </c>
      <c r="E21" s="20">
        <v>0.23</v>
      </c>
      <c r="F21" s="20">
        <v>0.18</v>
      </c>
      <c r="G21" s="7" t="s">
        <v>314</v>
      </c>
      <c r="H21" s="20">
        <v>0</v>
      </c>
      <c r="I21" s="33" t="s">
        <v>124</v>
      </c>
    </row>
    <row r="22" spans="1:9" ht="19.5" customHeight="1" x14ac:dyDescent="0.2">
      <c r="A22" s="7" t="s">
        <v>135</v>
      </c>
      <c r="B22" s="20">
        <v>7.4</v>
      </c>
      <c r="C22" s="20">
        <v>1.1000000000000001</v>
      </c>
      <c r="D22" s="20">
        <v>28.2</v>
      </c>
      <c r="E22" s="20">
        <v>0.22</v>
      </c>
      <c r="F22" s="20">
        <v>0.17</v>
      </c>
      <c r="G22" s="7" t="s">
        <v>314</v>
      </c>
      <c r="H22" s="20">
        <v>0</v>
      </c>
      <c r="I22" s="33" t="s">
        <v>124</v>
      </c>
    </row>
    <row r="23" spans="1:9" ht="19.5" customHeight="1" x14ac:dyDescent="0.2">
      <c r="A23" s="7" t="s">
        <v>136</v>
      </c>
      <c r="B23" s="20">
        <v>7.4</v>
      </c>
      <c r="C23" s="20">
        <v>1.1000000000000001</v>
      </c>
      <c r="D23" s="20">
        <v>28.1</v>
      </c>
      <c r="E23" s="20">
        <v>0.24</v>
      </c>
      <c r="F23" s="20">
        <v>0.19</v>
      </c>
      <c r="G23" s="7" t="s">
        <v>314</v>
      </c>
      <c r="H23" s="20">
        <v>0</v>
      </c>
      <c r="I23" s="33" t="s">
        <v>124</v>
      </c>
    </row>
    <row r="24" spans="1:9" ht="19.5" customHeight="1" x14ac:dyDescent="0.2">
      <c r="A24" s="7" t="s">
        <v>137</v>
      </c>
      <c r="B24" s="20">
        <v>7.3</v>
      </c>
      <c r="C24" s="20">
        <v>1.2</v>
      </c>
      <c r="D24" s="20">
        <v>28.3</v>
      </c>
      <c r="E24" s="20">
        <v>0.22</v>
      </c>
      <c r="F24" s="20">
        <v>0.18</v>
      </c>
      <c r="G24" s="7" t="s">
        <v>314</v>
      </c>
      <c r="H24" s="20">
        <v>0</v>
      </c>
      <c r="I24" s="33" t="s">
        <v>124</v>
      </c>
    </row>
    <row r="25" spans="1:9" ht="19.5" customHeight="1" x14ac:dyDescent="0.2">
      <c r="A25" s="7" t="s">
        <v>138</v>
      </c>
      <c r="B25" s="20">
        <v>7.4</v>
      </c>
      <c r="C25" s="20">
        <v>1.1000000000000001</v>
      </c>
      <c r="D25" s="20">
        <v>28.2</v>
      </c>
      <c r="E25" s="20">
        <v>0.23</v>
      </c>
      <c r="F25" s="20">
        <v>0.17</v>
      </c>
      <c r="G25" s="7" t="s">
        <v>315</v>
      </c>
      <c r="H25" s="20">
        <v>1</v>
      </c>
      <c r="I25" s="33" t="s">
        <v>139</v>
      </c>
    </row>
    <row r="26" spans="1:9" ht="19.5" customHeight="1" x14ac:dyDescent="0.2">
      <c r="A26" s="7" t="s">
        <v>140</v>
      </c>
      <c r="B26" s="20">
        <v>7.5</v>
      </c>
      <c r="C26" s="20">
        <v>1.2</v>
      </c>
      <c r="D26" s="20">
        <v>28.3</v>
      </c>
      <c r="E26" s="20">
        <v>0.21</v>
      </c>
      <c r="F26" s="20">
        <v>0.16</v>
      </c>
      <c r="G26" s="7" t="s">
        <v>314</v>
      </c>
      <c r="H26" s="20">
        <v>0</v>
      </c>
      <c r="I26" s="33" t="s">
        <v>124</v>
      </c>
    </row>
    <row r="27" spans="1:9" ht="19.5" customHeight="1" x14ac:dyDescent="0.2">
      <c r="A27" s="7" t="s">
        <v>141</v>
      </c>
      <c r="B27" s="20">
        <v>7.4</v>
      </c>
      <c r="C27" s="20">
        <v>1.1000000000000001</v>
      </c>
      <c r="D27" s="20">
        <v>28.4</v>
      </c>
      <c r="E27" s="20">
        <v>0.22</v>
      </c>
      <c r="F27" s="20">
        <v>0.17</v>
      </c>
      <c r="G27" s="7" t="s">
        <v>314</v>
      </c>
      <c r="H27" s="20">
        <v>0</v>
      </c>
      <c r="I27" s="33" t="s">
        <v>124</v>
      </c>
    </row>
    <row r="28" spans="1:9" ht="19.5" customHeight="1" x14ac:dyDescent="0.2">
      <c r="A28" s="7" t="s">
        <v>142</v>
      </c>
      <c r="B28" s="20">
        <v>7.3</v>
      </c>
      <c r="C28" s="20">
        <v>1.2</v>
      </c>
      <c r="D28" s="20">
        <v>28.3</v>
      </c>
      <c r="E28" s="20">
        <v>0.21</v>
      </c>
      <c r="F28" s="20">
        <v>0.18</v>
      </c>
      <c r="G28" s="7" t="s">
        <v>314</v>
      </c>
      <c r="H28" s="20">
        <v>0</v>
      </c>
      <c r="I28" s="33" t="s">
        <v>124</v>
      </c>
    </row>
    <row r="29" spans="1:9" ht="19.5" customHeight="1" x14ac:dyDescent="0.2">
      <c r="A29" s="7" t="s">
        <v>143</v>
      </c>
      <c r="B29" s="20">
        <v>7.4</v>
      </c>
      <c r="C29" s="20">
        <v>1.2</v>
      </c>
      <c r="D29" s="20">
        <v>28.5</v>
      </c>
      <c r="E29" s="20">
        <v>0.2</v>
      </c>
      <c r="F29" s="20">
        <v>0.16</v>
      </c>
      <c r="G29" s="7" t="s">
        <v>314</v>
      </c>
      <c r="H29" s="20">
        <v>0</v>
      </c>
      <c r="I29" s="33" t="s">
        <v>124</v>
      </c>
    </row>
    <row r="30" spans="1:9" ht="19.5" customHeight="1" x14ac:dyDescent="0.2">
      <c r="A30" s="7" t="s">
        <v>144</v>
      </c>
      <c r="B30" s="20">
        <v>7.5</v>
      </c>
      <c r="C30" s="20">
        <v>1.2</v>
      </c>
      <c r="D30" s="20">
        <v>28.4</v>
      </c>
      <c r="E30" s="20">
        <v>0.21</v>
      </c>
      <c r="F30" s="20">
        <v>0.15</v>
      </c>
      <c r="G30" s="7" t="s">
        <v>314</v>
      </c>
      <c r="H30" s="20">
        <v>0</v>
      </c>
      <c r="I30" s="33" t="s">
        <v>124</v>
      </c>
    </row>
    <row r="31" spans="1:9" ht="19.5" customHeight="1" x14ac:dyDescent="0.2">
      <c r="A31" s="7" t="s">
        <v>145</v>
      </c>
      <c r="B31" s="20">
        <v>7.4</v>
      </c>
      <c r="C31" s="20">
        <v>1.1000000000000001</v>
      </c>
      <c r="D31" s="20">
        <v>28.6</v>
      </c>
      <c r="E31" s="20">
        <v>0.22</v>
      </c>
      <c r="F31" s="20">
        <v>0.17</v>
      </c>
      <c r="G31" s="7" t="s">
        <v>314</v>
      </c>
      <c r="H31" s="20">
        <v>0</v>
      </c>
      <c r="I31" s="33" t="s">
        <v>124</v>
      </c>
    </row>
    <row r="32" spans="1:9" ht="19.5" customHeight="1" x14ac:dyDescent="0.2">
      <c r="A32" s="7" t="s">
        <v>146</v>
      </c>
      <c r="B32" s="20">
        <v>7.5</v>
      </c>
      <c r="C32" s="20">
        <v>1.2</v>
      </c>
      <c r="D32" s="20">
        <v>28.5</v>
      </c>
      <c r="E32" s="20">
        <v>0.2</v>
      </c>
      <c r="F32" s="20">
        <v>0.16</v>
      </c>
      <c r="G32" s="7" t="s">
        <v>314</v>
      </c>
      <c r="H32" s="20">
        <v>0</v>
      </c>
      <c r="I32" s="33" t="s">
        <v>124</v>
      </c>
    </row>
    <row r="33" spans="1:9" ht="19.5" customHeight="1" x14ac:dyDescent="0.2">
      <c r="A33" s="7" t="s">
        <v>147</v>
      </c>
      <c r="B33" s="20">
        <v>7.4</v>
      </c>
      <c r="C33" s="20">
        <v>1.3</v>
      </c>
      <c r="D33" s="20">
        <v>28.6</v>
      </c>
      <c r="E33" s="20">
        <v>0.19</v>
      </c>
      <c r="F33" s="20">
        <v>0.15</v>
      </c>
      <c r="G33" s="7" t="s">
        <v>314</v>
      </c>
      <c r="H33" s="20">
        <v>0</v>
      </c>
      <c r="I33" s="33" t="s">
        <v>124</v>
      </c>
    </row>
    <row r="34" spans="1:9" ht="19.5" customHeight="1" x14ac:dyDescent="0.2">
      <c r="A34" s="7" t="s">
        <v>148</v>
      </c>
      <c r="B34" s="20">
        <v>7.5</v>
      </c>
      <c r="C34" s="20">
        <v>1.2</v>
      </c>
      <c r="D34" s="20">
        <v>28.7</v>
      </c>
      <c r="E34" s="20">
        <v>0.2</v>
      </c>
      <c r="F34" s="20">
        <v>0.16</v>
      </c>
      <c r="G34" s="7" t="s">
        <v>314</v>
      </c>
      <c r="H34" s="20">
        <v>0</v>
      </c>
      <c r="I34" s="33" t="s">
        <v>124</v>
      </c>
    </row>
    <row r="35" spans="1:9" ht="19.5" customHeight="1" x14ac:dyDescent="0.2">
      <c r="A35" s="7" t="s">
        <v>149</v>
      </c>
      <c r="B35" s="20">
        <v>7.4</v>
      </c>
      <c r="C35" s="20">
        <v>1.2</v>
      </c>
      <c r="D35" s="20">
        <v>28.8</v>
      </c>
      <c r="E35" s="20">
        <v>0.21</v>
      </c>
      <c r="F35" s="20">
        <v>0.15</v>
      </c>
      <c r="G35" s="7" t="s">
        <v>314</v>
      </c>
      <c r="H35" s="20">
        <v>0</v>
      </c>
      <c r="I35" s="33" t="s">
        <v>124</v>
      </c>
    </row>
    <row r="36" spans="1:9" ht="19.5" customHeight="1" x14ac:dyDescent="0.2">
      <c r="A36" s="7" t="s">
        <v>150</v>
      </c>
      <c r="B36" s="20">
        <v>7.5</v>
      </c>
      <c r="C36" s="20">
        <v>1.3</v>
      </c>
      <c r="D36" s="20">
        <v>28.6</v>
      </c>
      <c r="E36" s="20">
        <v>0.19</v>
      </c>
      <c r="F36" s="20">
        <v>0.14000000000000001</v>
      </c>
      <c r="G36" s="7" t="s">
        <v>314</v>
      </c>
      <c r="H36" s="20">
        <v>0</v>
      </c>
      <c r="I36" s="33" t="s">
        <v>124</v>
      </c>
    </row>
    <row r="37" spans="1:9" ht="19.5" customHeight="1" x14ac:dyDescent="0.2">
      <c r="A37" s="23" t="s">
        <v>151</v>
      </c>
      <c r="B37" s="34">
        <f>AVERAGE(B13:B36)</f>
        <v>7.4041666666666677</v>
      </c>
      <c r="C37" s="34">
        <f>AVERAGE(C13:C36)</f>
        <v>1.1249999999999998</v>
      </c>
      <c r="D37" s="34">
        <f>AVERAGE(D13:D36)</f>
        <v>28.204166666666669</v>
      </c>
      <c r="E37" s="34">
        <f>AVERAGE(E13:E36)</f>
        <v>0.22375000000000009</v>
      </c>
      <c r="F37" s="34">
        <f>AVERAGE(F13:F36)</f>
        <v>0.17374999999999999</v>
      </c>
      <c r="G37" s="35"/>
      <c r="H37" s="29">
        <f>SUM(H13:H36)</f>
        <v>3</v>
      </c>
      <c r="I37" s="36"/>
    </row>
  </sheetData>
  <mergeCells count="3">
    <mergeCell ref="A1:I1"/>
    <mergeCell ref="A3:B3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showGridLines="0" zoomScaleNormal="100" workbookViewId="0">
      <selection sqref="A1:I1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9" width="14" customWidth="1"/>
  </cols>
  <sheetData>
    <row r="1" spans="1:9" ht="34.5" customHeight="1" x14ac:dyDescent="0.2">
      <c r="A1" s="26" t="s">
        <v>152</v>
      </c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ht="24" customHeight="1" x14ac:dyDescent="0.2">
      <c r="A3" s="27" t="s">
        <v>153</v>
      </c>
      <c r="B3" s="27"/>
      <c r="C3" s="27"/>
      <c r="D3" s="27"/>
      <c r="E3" s="27"/>
      <c r="F3" s="27"/>
      <c r="G3" s="27"/>
      <c r="H3" s="27"/>
      <c r="I3" s="27"/>
    </row>
    <row r="4" spans="1:9" ht="18" customHeight="1" x14ac:dyDescent="0.2">
      <c r="A4" s="5" t="s">
        <v>154</v>
      </c>
      <c r="B4" s="5" t="s">
        <v>155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6" t="s">
        <v>9</v>
      </c>
    </row>
    <row r="5" spans="1:9" ht="18" customHeight="1" x14ac:dyDescent="0.2">
      <c r="A5" s="7" t="s">
        <v>156</v>
      </c>
      <c r="B5" s="14">
        <v>36000</v>
      </c>
      <c r="C5" s="14">
        <v>37275</v>
      </c>
      <c r="D5" s="14">
        <v>36120</v>
      </c>
      <c r="E5" s="14">
        <v>43470</v>
      </c>
      <c r="F5" s="14">
        <v>49560</v>
      </c>
      <c r="G5" s="14">
        <v>59150</v>
      </c>
      <c r="H5" s="14">
        <v>63840</v>
      </c>
      <c r="I5" s="37">
        <f t="shared" ref="I5:I10" si="0">SUM(C5:H5)</f>
        <v>289415</v>
      </c>
    </row>
    <row r="6" spans="1:9" ht="18" customHeight="1" x14ac:dyDescent="0.2">
      <c r="A6" s="7" t="s">
        <v>157</v>
      </c>
      <c r="B6" s="14">
        <v>26000</v>
      </c>
      <c r="C6" s="14">
        <v>26265</v>
      </c>
      <c r="D6" s="14">
        <v>27600</v>
      </c>
      <c r="E6" s="14">
        <v>29400</v>
      </c>
      <c r="F6" s="14">
        <v>31200</v>
      </c>
      <c r="G6" s="14">
        <v>33600</v>
      </c>
      <c r="H6" s="14">
        <v>35400</v>
      </c>
      <c r="I6" s="37">
        <f t="shared" si="0"/>
        <v>183465</v>
      </c>
    </row>
    <row r="7" spans="1:9" ht="18" customHeight="1" x14ac:dyDescent="0.2">
      <c r="A7" s="7" t="s">
        <v>158</v>
      </c>
      <c r="B7" s="14">
        <v>8000</v>
      </c>
      <c r="C7" s="14">
        <v>8200</v>
      </c>
      <c r="D7" s="14">
        <v>8450</v>
      </c>
      <c r="E7" s="14">
        <v>9600</v>
      </c>
      <c r="F7" s="14">
        <v>10800</v>
      </c>
      <c r="G7" s="14">
        <v>12500</v>
      </c>
      <c r="H7" s="14">
        <v>13200</v>
      </c>
      <c r="I7" s="37">
        <f t="shared" si="0"/>
        <v>62750</v>
      </c>
    </row>
    <row r="8" spans="1:9" ht="18" customHeight="1" x14ac:dyDescent="0.2">
      <c r="A8" s="7" t="s">
        <v>159</v>
      </c>
      <c r="B8" s="14">
        <v>1500</v>
      </c>
      <c r="C8" s="14">
        <v>1680</v>
      </c>
      <c r="D8" s="14">
        <v>1540</v>
      </c>
      <c r="E8" s="14">
        <v>1820</v>
      </c>
      <c r="F8" s="14">
        <v>2100</v>
      </c>
      <c r="G8" s="14">
        <v>2480</v>
      </c>
      <c r="H8" s="14">
        <v>2750</v>
      </c>
      <c r="I8" s="37">
        <f t="shared" si="0"/>
        <v>12370</v>
      </c>
    </row>
    <row r="9" spans="1:9" ht="18" customHeight="1" x14ac:dyDescent="0.2">
      <c r="A9" s="7" t="s">
        <v>160</v>
      </c>
      <c r="B9" s="14">
        <v>2000</v>
      </c>
      <c r="C9" s="14">
        <v>2140</v>
      </c>
      <c r="D9" s="14">
        <v>2100</v>
      </c>
      <c r="E9" s="14">
        <v>2480</v>
      </c>
      <c r="F9" s="14">
        <v>2820</v>
      </c>
      <c r="G9" s="14">
        <v>3350</v>
      </c>
      <c r="H9" s="14">
        <v>3680</v>
      </c>
      <c r="I9" s="37">
        <f t="shared" si="0"/>
        <v>16570</v>
      </c>
    </row>
    <row r="10" spans="1:9" ht="18" customHeight="1" x14ac:dyDescent="0.2">
      <c r="A10" s="7" t="s">
        <v>161</v>
      </c>
      <c r="B10" s="14">
        <v>1000</v>
      </c>
      <c r="C10" s="14">
        <v>1050</v>
      </c>
      <c r="D10" s="14">
        <v>1010</v>
      </c>
      <c r="E10" s="14">
        <v>1150</v>
      </c>
      <c r="F10" s="14">
        <v>1280</v>
      </c>
      <c r="G10" s="14">
        <v>1480</v>
      </c>
      <c r="H10" s="14">
        <v>1620</v>
      </c>
      <c r="I10" s="37">
        <f t="shared" si="0"/>
        <v>7590</v>
      </c>
    </row>
    <row r="11" spans="1:9" ht="21.75" customHeight="1" x14ac:dyDescent="0.2">
      <c r="A11" s="16" t="s">
        <v>24</v>
      </c>
      <c r="B11" s="15">
        <f t="shared" ref="B11:I11" si="1">SUM(B5:B10)</f>
        <v>74500</v>
      </c>
      <c r="C11" s="15">
        <f t="shared" si="1"/>
        <v>76610</v>
      </c>
      <c r="D11" s="15">
        <f t="shared" si="1"/>
        <v>76820</v>
      </c>
      <c r="E11" s="15">
        <f t="shared" si="1"/>
        <v>87920</v>
      </c>
      <c r="F11" s="15">
        <f t="shared" si="1"/>
        <v>97760</v>
      </c>
      <c r="G11" s="15">
        <f t="shared" si="1"/>
        <v>112560</v>
      </c>
      <c r="H11" s="15">
        <f t="shared" si="1"/>
        <v>120490</v>
      </c>
      <c r="I11" s="37">
        <f t="shared" si="1"/>
        <v>572160</v>
      </c>
    </row>
    <row r="12" spans="1:9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24" customHeight="1" x14ac:dyDescent="0.2">
      <c r="A13" s="27" t="s">
        <v>162</v>
      </c>
      <c r="B13" s="27"/>
      <c r="C13" s="27"/>
      <c r="D13" s="27"/>
      <c r="E13" s="27"/>
      <c r="F13" s="27"/>
      <c r="G13" s="27"/>
      <c r="H13" s="27"/>
      <c r="I13" s="27"/>
    </row>
    <row r="14" spans="1:9" ht="18" customHeight="1" x14ac:dyDescent="0.2">
      <c r="A14" s="5" t="s">
        <v>154</v>
      </c>
      <c r="B14" s="5" t="s">
        <v>155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6" t="s">
        <v>9</v>
      </c>
    </row>
    <row r="15" spans="1:9" ht="18" customHeight="1" x14ac:dyDescent="0.2">
      <c r="A15" s="7" t="s">
        <v>163</v>
      </c>
      <c r="B15" s="14">
        <v>36800</v>
      </c>
      <c r="C15" s="14">
        <v>36800</v>
      </c>
      <c r="D15" s="14">
        <v>36800</v>
      </c>
      <c r="E15" s="14">
        <v>36800</v>
      </c>
      <c r="F15" s="14">
        <v>36800</v>
      </c>
      <c r="G15" s="14">
        <v>36800</v>
      </c>
      <c r="H15" s="14">
        <v>36800</v>
      </c>
      <c r="I15" s="37">
        <f t="shared" ref="I15:I24" si="2">SUM(C15:H15)</f>
        <v>220800</v>
      </c>
    </row>
    <row r="16" spans="1:9" ht="18" customHeight="1" x14ac:dyDescent="0.2">
      <c r="A16" s="7" t="s">
        <v>164</v>
      </c>
      <c r="B16" s="14">
        <v>18400</v>
      </c>
      <c r="C16" s="14">
        <v>18400</v>
      </c>
      <c r="D16" s="14">
        <v>18400</v>
      </c>
      <c r="E16" s="14">
        <v>18400</v>
      </c>
      <c r="F16" s="14">
        <v>18400</v>
      </c>
      <c r="G16" s="14">
        <v>18400</v>
      </c>
      <c r="H16" s="14">
        <v>18400</v>
      </c>
      <c r="I16" s="37">
        <f t="shared" si="2"/>
        <v>110400</v>
      </c>
    </row>
    <row r="17" spans="1:9" ht="18" customHeight="1" x14ac:dyDescent="0.2">
      <c r="A17" s="7" t="s">
        <v>165</v>
      </c>
      <c r="B17" s="14">
        <v>10600</v>
      </c>
      <c r="C17" s="14">
        <v>10750</v>
      </c>
      <c r="D17" s="14">
        <v>11150</v>
      </c>
      <c r="E17" s="14">
        <v>9800</v>
      </c>
      <c r="F17" s="14">
        <v>8200</v>
      </c>
      <c r="G17" s="14">
        <v>6900</v>
      </c>
      <c r="H17" s="14">
        <v>6400</v>
      </c>
      <c r="I17" s="37">
        <f t="shared" si="2"/>
        <v>53200</v>
      </c>
    </row>
    <row r="18" spans="1:9" ht="18" customHeight="1" x14ac:dyDescent="0.2">
      <c r="A18" s="7" t="s">
        <v>166</v>
      </c>
      <c r="B18" s="14">
        <v>4800</v>
      </c>
      <c r="C18" s="14">
        <v>4740</v>
      </c>
      <c r="D18" s="14">
        <v>5020</v>
      </c>
      <c r="E18" s="14">
        <v>3800</v>
      </c>
      <c r="F18" s="14">
        <v>2100</v>
      </c>
      <c r="G18" s="14">
        <v>800</v>
      </c>
      <c r="H18" s="14">
        <v>200</v>
      </c>
      <c r="I18" s="37">
        <f t="shared" si="2"/>
        <v>16660</v>
      </c>
    </row>
    <row r="19" spans="1:9" ht="18" customHeight="1" x14ac:dyDescent="0.2">
      <c r="A19" s="7" t="s">
        <v>167</v>
      </c>
      <c r="B19" s="14">
        <v>1200</v>
      </c>
      <c r="C19" s="14">
        <v>1350</v>
      </c>
      <c r="D19" s="14">
        <v>1280</v>
      </c>
      <c r="E19" s="14">
        <v>1420</v>
      </c>
      <c r="F19" s="14">
        <v>1580</v>
      </c>
      <c r="G19" s="14">
        <v>1820</v>
      </c>
      <c r="H19" s="14">
        <v>1960</v>
      </c>
      <c r="I19" s="37">
        <f t="shared" si="2"/>
        <v>9410</v>
      </c>
    </row>
    <row r="20" spans="1:9" ht="18" customHeight="1" x14ac:dyDescent="0.2">
      <c r="A20" s="7" t="s">
        <v>168</v>
      </c>
      <c r="B20" s="14">
        <v>2000</v>
      </c>
      <c r="C20" s="14">
        <v>2005</v>
      </c>
      <c r="D20" s="14">
        <v>1935</v>
      </c>
      <c r="E20" s="14">
        <v>2100</v>
      </c>
      <c r="F20" s="14">
        <v>2250</v>
      </c>
      <c r="G20" s="14">
        <v>2480</v>
      </c>
      <c r="H20" s="14">
        <v>2620</v>
      </c>
      <c r="I20" s="37">
        <f t="shared" si="2"/>
        <v>13390</v>
      </c>
    </row>
    <row r="21" spans="1:9" ht="18" customHeight="1" x14ac:dyDescent="0.2">
      <c r="A21" s="7" t="s">
        <v>169</v>
      </c>
      <c r="B21" s="14">
        <v>2000</v>
      </c>
      <c r="C21" s="14">
        <v>1850</v>
      </c>
      <c r="D21" s="14">
        <v>1600</v>
      </c>
      <c r="E21" s="14">
        <v>2000</v>
      </c>
      <c r="F21" s="14">
        <v>2000</v>
      </c>
      <c r="G21" s="14">
        <v>2000</v>
      </c>
      <c r="H21" s="14">
        <v>2000</v>
      </c>
      <c r="I21" s="37">
        <f t="shared" si="2"/>
        <v>11450</v>
      </c>
    </row>
    <row r="22" spans="1:9" ht="18" customHeight="1" x14ac:dyDescent="0.2">
      <c r="A22" s="7" t="s">
        <v>170</v>
      </c>
      <c r="B22" s="14">
        <v>1000</v>
      </c>
      <c r="C22" s="14">
        <v>2400</v>
      </c>
      <c r="D22" s="14">
        <v>2400</v>
      </c>
      <c r="E22" s="14">
        <v>800</v>
      </c>
      <c r="F22" s="14">
        <v>500</v>
      </c>
      <c r="G22" s="14">
        <v>300</v>
      </c>
      <c r="H22" s="14">
        <v>1200</v>
      </c>
      <c r="I22" s="37">
        <f t="shared" si="2"/>
        <v>7600</v>
      </c>
    </row>
    <row r="23" spans="1:9" ht="18" customHeight="1" x14ac:dyDescent="0.2">
      <c r="A23" s="7" t="s">
        <v>171</v>
      </c>
      <c r="B23" s="14">
        <v>1500</v>
      </c>
      <c r="C23" s="14">
        <v>1500</v>
      </c>
      <c r="D23" s="14">
        <v>1500</v>
      </c>
      <c r="E23" s="14">
        <v>1500</v>
      </c>
      <c r="F23" s="14">
        <v>1500</v>
      </c>
      <c r="G23" s="14">
        <v>1500</v>
      </c>
      <c r="H23" s="14">
        <v>1500</v>
      </c>
      <c r="I23" s="37">
        <f t="shared" si="2"/>
        <v>9000</v>
      </c>
    </row>
    <row r="24" spans="1:9" ht="18" customHeight="1" x14ac:dyDescent="0.2">
      <c r="A24" s="7" t="s">
        <v>172</v>
      </c>
      <c r="B24" s="14">
        <v>1200</v>
      </c>
      <c r="C24" s="14">
        <v>1100</v>
      </c>
      <c r="D24" s="14">
        <v>1050</v>
      </c>
      <c r="E24" s="14">
        <v>1100</v>
      </c>
      <c r="F24" s="14">
        <v>1100</v>
      </c>
      <c r="G24" s="14">
        <v>1100</v>
      </c>
      <c r="H24" s="14">
        <v>1100</v>
      </c>
      <c r="I24" s="37">
        <f t="shared" si="2"/>
        <v>6550</v>
      </c>
    </row>
    <row r="25" spans="1:9" ht="21.75" customHeight="1" x14ac:dyDescent="0.2">
      <c r="A25" s="16" t="s">
        <v>35</v>
      </c>
      <c r="B25" s="15">
        <f t="shared" ref="B25:I25" si="3">SUM(B15:B24)</f>
        <v>79500</v>
      </c>
      <c r="C25" s="15">
        <f t="shared" si="3"/>
        <v>80895</v>
      </c>
      <c r="D25" s="15">
        <f t="shared" si="3"/>
        <v>81135</v>
      </c>
      <c r="E25" s="15">
        <f t="shared" si="3"/>
        <v>77720</v>
      </c>
      <c r="F25" s="15">
        <f t="shared" si="3"/>
        <v>74430</v>
      </c>
      <c r="G25" s="15">
        <f t="shared" si="3"/>
        <v>72100</v>
      </c>
      <c r="H25" s="15">
        <f t="shared" si="3"/>
        <v>72180</v>
      </c>
      <c r="I25" s="37">
        <f t="shared" si="3"/>
        <v>458460</v>
      </c>
    </row>
    <row r="26" spans="1:9" x14ac:dyDescent="0.2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25.5" customHeight="1" x14ac:dyDescent="0.2">
      <c r="A27" s="38" t="s">
        <v>36</v>
      </c>
      <c r="B27" s="39">
        <f t="shared" ref="B27:I27" si="4">B11-B25</f>
        <v>-5000</v>
      </c>
      <c r="C27" s="39">
        <f t="shared" si="4"/>
        <v>-4285</v>
      </c>
      <c r="D27" s="39">
        <f t="shared" si="4"/>
        <v>-4315</v>
      </c>
      <c r="E27" s="39">
        <f t="shared" si="4"/>
        <v>10200</v>
      </c>
      <c r="F27" s="39">
        <f t="shared" si="4"/>
        <v>23330</v>
      </c>
      <c r="G27" s="39">
        <f t="shared" si="4"/>
        <v>40460</v>
      </c>
      <c r="H27" s="39">
        <f t="shared" si="4"/>
        <v>48310</v>
      </c>
      <c r="I27" s="40">
        <f t="shared" si="4"/>
        <v>113700</v>
      </c>
    </row>
    <row r="28" spans="1:9" x14ac:dyDescent="0.2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21.75" customHeight="1" x14ac:dyDescent="0.2">
      <c r="A29" s="41" t="s">
        <v>173</v>
      </c>
      <c r="B29" s="32"/>
      <c r="C29" s="3"/>
      <c r="D29" s="3"/>
      <c r="E29" s="3"/>
      <c r="F29" s="3"/>
      <c r="G29" s="3"/>
      <c r="H29" s="3"/>
      <c r="I29" s="3"/>
    </row>
    <row r="30" spans="1:9" ht="18" customHeight="1" x14ac:dyDescent="0.2">
      <c r="A30" s="5" t="s">
        <v>154</v>
      </c>
      <c r="B30" s="5" t="s">
        <v>155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  <c r="I30" s="6" t="s">
        <v>9</v>
      </c>
    </row>
    <row r="31" spans="1:9" ht="18" customHeight="1" x14ac:dyDescent="0.2">
      <c r="A31" s="7" t="s">
        <v>174</v>
      </c>
      <c r="B31" s="42" t="s">
        <v>124</v>
      </c>
      <c r="C31" s="43">
        <v>14.16</v>
      </c>
      <c r="D31" s="43">
        <v>14.32</v>
      </c>
      <c r="E31" s="43">
        <v>15.57</v>
      </c>
      <c r="F31" s="43">
        <v>13.97</v>
      </c>
      <c r="G31" s="43">
        <v>13.91</v>
      </c>
      <c r="H31" s="43">
        <v>13.46</v>
      </c>
      <c r="I31" s="22" t="s">
        <v>124</v>
      </c>
    </row>
    <row r="32" spans="1:9" ht="18" customHeight="1" x14ac:dyDescent="0.2">
      <c r="A32" s="7" t="s">
        <v>175</v>
      </c>
      <c r="B32" s="42" t="s">
        <v>124</v>
      </c>
      <c r="C32" s="43">
        <v>25.74</v>
      </c>
      <c r="D32" s="43">
        <v>26.24</v>
      </c>
      <c r="E32" s="43">
        <v>21.78</v>
      </c>
      <c r="F32" s="43">
        <v>17.86</v>
      </c>
      <c r="G32" s="43">
        <v>13.53</v>
      </c>
      <c r="H32" s="43">
        <v>11.85</v>
      </c>
      <c r="I32" s="22" t="s">
        <v>124</v>
      </c>
    </row>
    <row r="33" spans="1:9" ht="18" customHeight="1" x14ac:dyDescent="0.2">
      <c r="A33" s="44" t="s">
        <v>176</v>
      </c>
      <c r="B33" s="45" t="s">
        <v>124</v>
      </c>
      <c r="C33" s="46">
        <v>0.503</v>
      </c>
      <c r="D33" s="46">
        <v>0.48699999999999999</v>
      </c>
      <c r="E33" s="46">
        <v>0.55200000000000005</v>
      </c>
      <c r="F33" s="46">
        <v>0.59799999999999998</v>
      </c>
      <c r="G33" s="46">
        <v>0.64800000000000002</v>
      </c>
      <c r="H33" s="46">
        <v>0.67100000000000004</v>
      </c>
      <c r="I33" s="47" t="s">
        <v>124</v>
      </c>
    </row>
  </sheetData>
  <mergeCells count="3">
    <mergeCell ref="A1:I1"/>
    <mergeCell ref="A3:I3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2" customWidth="1"/>
    <col min="2" max="2" width="24" customWidth="1"/>
    <col min="3" max="3" width="22" customWidth="1"/>
    <col min="4" max="4" width="20" customWidth="1"/>
    <col min="5" max="5" width="22" customWidth="1"/>
    <col min="6" max="6" width="35" customWidth="1"/>
    <col min="7" max="7" width="12" customWidth="1"/>
    <col min="8" max="8" width="14" customWidth="1"/>
  </cols>
  <sheetData>
    <row r="1" spans="1:8" ht="34.5" customHeight="1" x14ac:dyDescent="0.2">
      <c r="A1" s="26" t="s">
        <v>177</v>
      </c>
      <c r="B1" s="26"/>
      <c r="C1" s="26"/>
      <c r="D1" s="26"/>
      <c r="E1" s="26"/>
      <c r="F1" s="26"/>
      <c r="G1" s="26"/>
      <c r="H1" s="26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ht="21.75" customHeight="1" x14ac:dyDescent="0.2">
      <c r="A3" s="31" t="s">
        <v>178</v>
      </c>
      <c r="B3" s="31"/>
      <c r="C3" s="31"/>
      <c r="D3" s="31"/>
      <c r="E3" s="31"/>
      <c r="F3" s="31"/>
      <c r="G3" s="31"/>
      <c r="H3" s="31"/>
    </row>
    <row r="4" spans="1:8" ht="18" customHeight="1" x14ac:dyDescent="0.2">
      <c r="A4" s="5" t="s">
        <v>154</v>
      </c>
      <c r="B4" s="5" t="s">
        <v>179</v>
      </c>
      <c r="C4" s="5" t="s">
        <v>180</v>
      </c>
      <c r="D4" s="5" t="s">
        <v>181</v>
      </c>
      <c r="E4" s="5" t="s">
        <v>5</v>
      </c>
      <c r="F4" s="5" t="s">
        <v>182</v>
      </c>
      <c r="G4" s="5" t="s">
        <v>7</v>
      </c>
      <c r="H4" s="6" t="s">
        <v>8</v>
      </c>
    </row>
    <row r="5" spans="1:8" ht="18" customHeight="1" x14ac:dyDescent="0.2">
      <c r="A5" s="7" t="s">
        <v>183</v>
      </c>
      <c r="B5" s="42">
        <v>8</v>
      </c>
      <c r="C5" s="42">
        <v>7.5</v>
      </c>
      <c r="D5" s="42">
        <v>7.8</v>
      </c>
      <c r="E5" s="42">
        <v>8</v>
      </c>
      <c r="F5" s="42">
        <v>8</v>
      </c>
      <c r="G5" s="42">
        <v>8</v>
      </c>
      <c r="H5" s="22">
        <v>7.8</v>
      </c>
    </row>
    <row r="6" spans="1:8" ht="18" customHeight="1" x14ac:dyDescent="0.2">
      <c r="A6" s="7" t="s">
        <v>184</v>
      </c>
      <c r="B6" s="42">
        <v>3</v>
      </c>
      <c r="C6" s="42">
        <v>3</v>
      </c>
      <c r="D6" s="42">
        <v>3</v>
      </c>
      <c r="E6" s="42">
        <v>3</v>
      </c>
      <c r="F6" s="42">
        <v>3</v>
      </c>
      <c r="G6" s="42">
        <v>3</v>
      </c>
      <c r="H6" s="22">
        <v>3</v>
      </c>
    </row>
    <row r="7" spans="1:8" ht="18" customHeight="1" x14ac:dyDescent="0.2">
      <c r="A7" s="7" t="s">
        <v>185</v>
      </c>
      <c r="B7" s="42">
        <v>2</v>
      </c>
      <c r="C7" s="42">
        <v>2</v>
      </c>
      <c r="D7" s="42">
        <v>2</v>
      </c>
      <c r="E7" s="42">
        <v>2</v>
      </c>
      <c r="F7" s="42">
        <v>2</v>
      </c>
      <c r="G7" s="42">
        <v>2</v>
      </c>
      <c r="H7" s="22">
        <v>2</v>
      </c>
    </row>
    <row r="8" spans="1:8" ht="18" customHeight="1" x14ac:dyDescent="0.2">
      <c r="A8" s="7" t="s">
        <v>186</v>
      </c>
      <c r="B8" s="42">
        <v>3</v>
      </c>
      <c r="C8" s="42">
        <v>2.8</v>
      </c>
      <c r="D8" s="42">
        <v>2.9</v>
      </c>
      <c r="E8" s="42">
        <v>3</v>
      </c>
      <c r="F8" s="42">
        <v>3</v>
      </c>
      <c r="G8" s="42">
        <v>3</v>
      </c>
      <c r="H8" s="22">
        <v>3</v>
      </c>
    </row>
    <row r="9" spans="1:8" ht="18" customHeight="1" x14ac:dyDescent="0.2">
      <c r="A9" s="7" t="s">
        <v>187</v>
      </c>
      <c r="B9" s="42">
        <v>2</v>
      </c>
      <c r="C9" s="42">
        <v>2</v>
      </c>
      <c r="D9" s="42">
        <v>2</v>
      </c>
      <c r="E9" s="42">
        <v>2</v>
      </c>
      <c r="F9" s="42">
        <v>2</v>
      </c>
      <c r="G9" s="42">
        <v>2</v>
      </c>
      <c r="H9" s="22">
        <v>2</v>
      </c>
    </row>
    <row r="10" spans="1:8" ht="19.5" customHeight="1" x14ac:dyDescent="0.2">
      <c r="A10" s="16" t="s">
        <v>188</v>
      </c>
      <c r="B10" s="48">
        <f>SUM(B5:B9)</f>
        <v>18</v>
      </c>
      <c r="C10" s="48">
        <f>SUM(C5:C9)</f>
        <v>17.3</v>
      </c>
      <c r="D10" s="48">
        <f>SUM(D5:D9)</f>
        <v>17.700000000000003</v>
      </c>
      <c r="E10" s="48">
        <f>SUM(E5:E9)</f>
        <v>18</v>
      </c>
      <c r="F10" s="48">
        <f>SUM(F5:F9)</f>
        <v>18</v>
      </c>
      <c r="G10" s="48">
        <f>SUM(G5:G9)</f>
        <v>18</v>
      </c>
      <c r="H10" s="49">
        <f>SUM(H5:H9)</f>
        <v>17.8</v>
      </c>
    </row>
    <row r="11" spans="1:8" x14ac:dyDescent="0.2">
      <c r="A11" s="13"/>
      <c r="B11" s="13"/>
      <c r="C11" s="13"/>
      <c r="D11" s="13"/>
      <c r="E11" s="13"/>
      <c r="F11" s="13"/>
      <c r="G11" s="13"/>
      <c r="H11" s="13"/>
    </row>
    <row r="12" spans="1:8" ht="21.75" customHeight="1" x14ac:dyDescent="0.2">
      <c r="A12" s="31" t="s">
        <v>189</v>
      </c>
      <c r="B12" s="31"/>
      <c r="C12" s="31"/>
      <c r="D12" s="31"/>
      <c r="E12" s="31"/>
      <c r="F12" s="31"/>
      <c r="G12" s="31"/>
      <c r="H12" s="31"/>
    </row>
    <row r="13" spans="1:8" ht="18" customHeight="1" x14ac:dyDescent="0.2">
      <c r="A13" s="5" t="s">
        <v>2</v>
      </c>
      <c r="B13" s="5" t="s">
        <v>190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6" t="s">
        <v>8</v>
      </c>
    </row>
    <row r="14" spans="1:8" ht="18" customHeight="1" x14ac:dyDescent="0.2">
      <c r="A14" s="7" t="s">
        <v>45</v>
      </c>
      <c r="B14" s="7" t="s">
        <v>191</v>
      </c>
      <c r="C14" s="42">
        <v>8</v>
      </c>
      <c r="D14" s="42">
        <v>12</v>
      </c>
      <c r="E14" s="42">
        <v>6</v>
      </c>
      <c r="F14" s="42">
        <v>9</v>
      </c>
      <c r="G14" s="42">
        <v>5</v>
      </c>
      <c r="H14" s="22">
        <v>7</v>
      </c>
    </row>
    <row r="15" spans="1:8" ht="18" customHeight="1" x14ac:dyDescent="0.2">
      <c r="A15" s="7" t="s">
        <v>46</v>
      </c>
      <c r="B15" s="7" t="s">
        <v>192</v>
      </c>
      <c r="C15" s="11">
        <v>2.1999999999999999E-2</v>
      </c>
      <c r="D15" s="11">
        <v>3.3000000000000002E-2</v>
      </c>
      <c r="E15" s="11">
        <v>1.7000000000000001E-2</v>
      </c>
      <c r="F15" s="11">
        <v>2.5000000000000001E-2</v>
      </c>
      <c r="G15" s="11">
        <v>1.4E-2</v>
      </c>
      <c r="H15" s="28">
        <v>1.9E-2</v>
      </c>
    </row>
    <row r="16" spans="1:8" ht="18" customHeight="1" x14ac:dyDescent="0.2">
      <c r="A16" s="7" t="s">
        <v>193</v>
      </c>
      <c r="B16" s="7" t="s">
        <v>124</v>
      </c>
      <c r="C16" s="42">
        <v>42</v>
      </c>
      <c r="D16" s="42">
        <v>38</v>
      </c>
      <c r="E16" s="42">
        <v>35</v>
      </c>
      <c r="F16" s="42">
        <v>44</v>
      </c>
      <c r="G16" s="42">
        <v>52</v>
      </c>
      <c r="H16" s="22">
        <v>58</v>
      </c>
    </row>
    <row r="17" spans="1:8" ht="18" customHeight="1" x14ac:dyDescent="0.2">
      <c r="A17" s="7" t="s">
        <v>47</v>
      </c>
      <c r="B17" s="7" t="s">
        <v>194</v>
      </c>
      <c r="C17" s="42">
        <v>2</v>
      </c>
      <c r="D17" s="42">
        <v>3</v>
      </c>
      <c r="E17" s="42">
        <v>1</v>
      </c>
      <c r="F17" s="42">
        <v>2</v>
      </c>
      <c r="G17" s="42">
        <v>2</v>
      </c>
      <c r="H17" s="22">
        <v>1</v>
      </c>
    </row>
    <row r="18" spans="1:8" ht="18" customHeight="1" x14ac:dyDescent="0.2">
      <c r="A18" s="7" t="s">
        <v>195</v>
      </c>
      <c r="B18" s="7">
        <v>0</v>
      </c>
      <c r="C18" s="42">
        <v>2</v>
      </c>
      <c r="D18" s="42">
        <v>1</v>
      </c>
      <c r="E18" s="42">
        <v>0</v>
      </c>
      <c r="F18" s="42">
        <v>1</v>
      </c>
      <c r="G18" s="42">
        <v>0</v>
      </c>
      <c r="H18" s="22">
        <v>1</v>
      </c>
    </row>
    <row r="19" spans="1:8" x14ac:dyDescent="0.2">
      <c r="A19" s="13"/>
      <c r="B19" s="13"/>
      <c r="C19" s="13"/>
      <c r="D19" s="13"/>
      <c r="E19" s="13"/>
      <c r="F19" s="13"/>
      <c r="G19" s="13"/>
      <c r="H19" s="13"/>
    </row>
    <row r="20" spans="1:8" ht="21.75" customHeight="1" x14ac:dyDescent="0.2">
      <c r="A20" s="31" t="s">
        <v>196</v>
      </c>
      <c r="B20" s="31"/>
      <c r="C20" s="31"/>
      <c r="D20" s="31"/>
      <c r="E20" s="31"/>
      <c r="F20" s="31"/>
      <c r="G20" s="31"/>
      <c r="H20" s="31"/>
    </row>
    <row r="21" spans="1:8" ht="18" customHeight="1" x14ac:dyDescent="0.2">
      <c r="A21" s="5" t="s">
        <v>197</v>
      </c>
      <c r="B21" s="5" t="s">
        <v>198</v>
      </c>
      <c r="C21" s="5" t="s">
        <v>199</v>
      </c>
      <c r="D21" s="5" t="s">
        <v>180</v>
      </c>
      <c r="E21" s="5" t="s">
        <v>181</v>
      </c>
      <c r="F21" s="5" t="s">
        <v>5</v>
      </c>
      <c r="G21" s="5" t="s">
        <v>200</v>
      </c>
      <c r="H21" s="6" t="s">
        <v>201</v>
      </c>
    </row>
    <row r="22" spans="1:8" ht="18" customHeight="1" x14ac:dyDescent="0.2">
      <c r="A22" s="7" t="s">
        <v>202</v>
      </c>
      <c r="B22" s="42">
        <v>8</v>
      </c>
      <c r="C22" s="7" t="s">
        <v>203</v>
      </c>
      <c r="D22" s="7" t="s">
        <v>204</v>
      </c>
      <c r="E22" s="7" t="s">
        <v>204</v>
      </c>
      <c r="F22" s="7" t="s">
        <v>124</v>
      </c>
      <c r="G22" s="7" t="s">
        <v>124</v>
      </c>
      <c r="H22" s="33" t="s">
        <v>316</v>
      </c>
    </row>
    <row r="23" spans="1:8" ht="18" customHeight="1" x14ac:dyDescent="0.2">
      <c r="A23" s="7" t="s">
        <v>205</v>
      </c>
      <c r="B23" s="42">
        <v>8</v>
      </c>
      <c r="C23" s="7" t="s">
        <v>206</v>
      </c>
      <c r="D23" s="7" t="s">
        <v>204</v>
      </c>
      <c r="E23" s="7" t="s">
        <v>204</v>
      </c>
      <c r="F23" s="7" t="s">
        <v>124</v>
      </c>
      <c r="G23" s="7" t="s">
        <v>124</v>
      </c>
      <c r="H23" s="33" t="s">
        <v>317</v>
      </c>
    </row>
    <row r="24" spans="1:8" ht="18" customHeight="1" x14ac:dyDescent="0.2">
      <c r="A24" s="7" t="s">
        <v>207</v>
      </c>
      <c r="B24" s="42">
        <v>8</v>
      </c>
      <c r="C24" s="7" t="s">
        <v>208</v>
      </c>
      <c r="D24" s="7" t="s">
        <v>124</v>
      </c>
      <c r="E24" s="7" t="s">
        <v>124</v>
      </c>
      <c r="F24" s="7" t="s">
        <v>209</v>
      </c>
      <c r="G24" s="7" t="s">
        <v>124</v>
      </c>
      <c r="H24" s="33" t="s">
        <v>318</v>
      </c>
    </row>
    <row r="25" spans="1:8" ht="18" customHeight="1" x14ac:dyDescent="0.2">
      <c r="A25" s="7" t="s">
        <v>210</v>
      </c>
      <c r="B25" s="42">
        <v>5</v>
      </c>
      <c r="C25" s="7" t="s">
        <v>208</v>
      </c>
      <c r="D25" s="7" t="s">
        <v>209</v>
      </c>
      <c r="E25" s="7" t="s">
        <v>124</v>
      </c>
      <c r="F25" s="7" t="s">
        <v>124</v>
      </c>
      <c r="G25" s="7" t="s">
        <v>124</v>
      </c>
      <c r="H25" s="33" t="s">
        <v>318</v>
      </c>
    </row>
    <row r="26" spans="1:8" ht="18" customHeight="1" x14ac:dyDescent="0.2">
      <c r="A26" s="7" t="s">
        <v>211</v>
      </c>
      <c r="B26" s="42">
        <v>2</v>
      </c>
      <c r="C26" s="7" t="s">
        <v>212</v>
      </c>
      <c r="D26" s="7" t="s">
        <v>124</v>
      </c>
      <c r="E26" s="7" t="s">
        <v>124</v>
      </c>
      <c r="F26" s="7" t="s">
        <v>124</v>
      </c>
      <c r="G26" s="7" t="s">
        <v>124</v>
      </c>
      <c r="H26" s="33" t="s">
        <v>319</v>
      </c>
    </row>
    <row r="27" spans="1:8" ht="18" customHeight="1" x14ac:dyDescent="0.2">
      <c r="A27" s="7" t="s">
        <v>213</v>
      </c>
      <c r="B27" s="42">
        <v>18</v>
      </c>
      <c r="C27" s="7" t="s">
        <v>208</v>
      </c>
      <c r="D27" s="7" t="s">
        <v>124</v>
      </c>
      <c r="E27" s="7" t="s">
        <v>209</v>
      </c>
      <c r="F27" s="7" t="s">
        <v>124</v>
      </c>
      <c r="G27" s="7" t="s">
        <v>124</v>
      </c>
      <c r="H27" s="33" t="s">
        <v>318</v>
      </c>
    </row>
    <row r="28" spans="1:8" ht="18" customHeight="1" x14ac:dyDescent="0.2">
      <c r="A28" s="7" t="s">
        <v>214</v>
      </c>
      <c r="B28" s="42">
        <v>2</v>
      </c>
      <c r="C28" s="7" t="s">
        <v>206</v>
      </c>
      <c r="D28" s="7" t="s">
        <v>124</v>
      </c>
      <c r="E28" s="7" t="s">
        <v>124</v>
      </c>
      <c r="F28" s="7" t="s">
        <v>124</v>
      </c>
      <c r="G28" s="7" t="s">
        <v>215</v>
      </c>
      <c r="H28" s="33" t="s">
        <v>320</v>
      </c>
    </row>
    <row r="29" spans="1:8" ht="18" customHeight="1" x14ac:dyDescent="0.2">
      <c r="A29" s="7" t="s">
        <v>216</v>
      </c>
      <c r="B29" s="42">
        <v>18</v>
      </c>
      <c r="C29" s="7" t="s">
        <v>208</v>
      </c>
      <c r="D29" s="7" t="s">
        <v>209</v>
      </c>
      <c r="E29" s="7" t="s">
        <v>124</v>
      </c>
      <c r="F29" s="7" t="s">
        <v>124</v>
      </c>
      <c r="G29" s="7" t="s">
        <v>124</v>
      </c>
      <c r="H29" s="33" t="s">
        <v>318</v>
      </c>
    </row>
    <row r="30" spans="1:8" ht="18" customHeight="1" x14ac:dyDescent="0.2">
      <c r="A30" s="7" t="s">
        <v>217</v>
      </c>
      <c r="B30" s="42">
        <v>18</v>
      </c>
      <c r="C30" s="7" t="s">
        <v>208</v>
      </c>
      <c r="D30" s="7" t="s">
        <v>124</v>
      </c>
      <c r="E30" s="7" t="s">
        <v>124</v>
      </c>
      <c r="F30" s="7" t="s">
        <v>124</v>
      </c>
      <c r="G30" s="7" t="s">
        <v>218</v>
      </c>
      <c r="H30" s="33" t="s">
        <v>321</v>
      </c>
    </row>
    <row r="31" spans="1:8" x14ac:dyDescent="0.2">
      <c r="A31" s="13"/>
      <c r="B31" s="13"/>
      <c r="C31" s="13"/>
      <c r="D31" s="13"/>
      <c r="E31" s="13"/>
      <c r="F31" s="13"/>
      <c r="G31" s="13"/>
      <c r="H31" s="13"/>
    </row>
    <row r="32" spans="1:8" ht="21.75" customHeight="1" x14ac:dyDescent="0.2">
      <c r="A32" s="31" t="s">
        <v>219</v>
      </c>
      <c r="B32" s="31"/>
      <c r="C32" s="31"/>
      <c r="D32" s="31"/>
      <c r="E32" s="31"/>
      <c r="F32" s="31"/>
      <c r="G32" s="31"/>
      <c r="H32" s="31"/>
    </row>
    <row r="33" spans="1:8" ht="18" customHeight="1" x14ac:dyDescent="0.2">
      <c r="A33" s="5" t="s">
        <v>220</v>
      </c>
      <c r="B33" s="5" t="s">
        <v>221</v>
      </c>
      <c r="C33" s="5" t="s">
        <v>222</v>
      </c>
      <c r="D33" s="5" t="s">
        <v>223</v>
      </c>
      <c r="E33" s="5" t="s">
        <v>224</v>
      </c>
      <c r="F33" s="5" t="s">
        <v>225</v>
      </c>
      <c r="G33" s="5" t="s">
        <v>226</v>
      </c>
      <c r="H33" s="6" t="s">
        <v>227</v>
      </c>
    </row>
    <row r="34" spans="1:8" ht="21.75" customHeight="1" x14ac:dyDescent="0.2">
      <c r="A34" s="7" t="s">
        <v>228</v>
      </c>
      <c r="B34" s="7" t="s">
        <v>229</v>
      </c>
      <c r="C34" s="7" t="s">
        <v>230</v>
      </c>
      <c r="D34" s="7" t="s">
        <v>231</v>
      </c>
      <c r="E34" s="7" t="s">
        <v>232</v>
      </c>
      <c r="F34" s="7" t="s">
        <v>233</v>
      </c>
      <c r="G34" s="7" t="s">
        <v>322</v>
      </c>
      <c r="H34" s="33" t="s">
        <v>234</v>
      </c>
    </row>
    <row r="35" spans="1:8" ht="21.75" customHeight="1" x14ac:dyDescent="0.2">
      <c r="A35" s="7" t="s">
        <v>235</v>
      </c>
      <c r="B35" s="7" t="s">
        <v>236</v>
      </c>
      <c r="C35" s="7" t="s">
        <v>237</v>
      </c>
      <c r="D35" s="7" t="s">
        <v>238</v>
      </c>
      <c r="E35" s="7" t="s">
        <v>239</v>
      </c>
      <c r="F35" s="7" t="s">
        <v>240</v>
      </c>
      <c r="G35" s="7" t="s">
        <v>322</v>
      </c>
      <c r="H35" s="33" t="s">
        <v>241</v>
      </c>
    </row>
    <row r="36" spans="1:8" ht="21.75" customHeight="1" x14ac:dyDescent="0.2">
      <c r="A36" s="50">
        <v>45871</v>
      </c>
      <c r="B36" s="7" t="s">
        <v>242</v>
      </c>
      <c r="C36" s="7" t="s">
        <v>243</v>
      </c>
      <c r="D36" s="7" t="s">
        <v>244</v>
      </c>
      <c r="E36" s="7" t="s">
        <v>245</v>
      </c>
      <c r="F36" s="7" t="s">
        <v>246</v>
      </c>
      <c r="G36" s="7" t="s">
        <v>322</v>
      </c>
      <c r="H36" s="33" t="s">
        <v>247</v>
      </c>
    </row>
    <row r="37" spans="1:8" ht="21.75" customHeight="1" x14ac:dyDescent="0.2">
      <c r="A37" s="7" t="s">
        <v>248</v>
      </c>
      <c r="B37" s="7" t="s">
        <v>249</v>
      </c>
      <c r="C37" s="7" t="s">
        <v>124</v>
      </c>
      <c r="D37" s="7" t="s">
        <v>250</v>
      </c>
      <c r="E37" s="7" t="s">
        <v>251</v>
      </c>
      <c r="F37" s="7" t="s">
        <v>252</v>
      </c>
      <c r="G37" s="7" t="s">
        <v>322</v>
      </c>
      <c r="H37" s="33" t="s">
        <v>253</v>
      </c>
    </row>
    <row r="38" spans="1:8" ht="21.75" customHeight="1" x14ac:dyDescent="0.2">
      <c r="A38" s="50">
        <v>45720</v>
      </c>
      <c r="B38" s="7" t="s">
        <v>254</v>
      </c>
      <c r="C38" s="7" t="s">
        <v>255</v>
      </c>
      <c r="D38" s="7" t="s">
        <v>256</v>
      </c>
      <c r="E38" s="7" t="s">
        <v>257</v>
      </c>
      <c r="F38" s="7" t="s">
        <v>258</v>
      </c>
      <c r="G38" s="7" t="s">
        <v>322</v>
      </c>
      <c r="H38" s="33" t="s">
        <v>259</v>
      </c>
    </row>
    <row r="39" spans="1:8" ht="21.75" customHeight="1" x14ac:dyDescent="0.2">
      <c r="A39" s="44" t="s">
        <v>260</v>
      </c>
      <c r="B39" s="44" t="s">
        <v>261</v>
      </c>
      <c r="C39" s="44" t="s">
        <v>262</v>
      </c>
      <c r="D39" s="44" t="s">
        <v>263</v>
      </c>
      <c r="E39" s="44" t="s">
        <v>264</v>
      </c>
      <c r="F39" s="44" t="s">
        <v>265</v>
      </c>
      <c r="G39" s="44" t="s">
        <v>322</v>
      </c>
      <c r="H39" s="51" t="s">
        <v>266</v>
      </c>
    </row>
  </sheetData>
  <mergeCells count="5">
    <mergeCell ref="A1:H1"/>
    <mergeCell ref="A3:H3"/>
    <mergeCell ref="A12:H12"/>
    <mergeCell ref="A20:H20"/>
    <mergeCell ref="A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6" customWidth="1"/>
    <col min="2" max="3" width="14" customWidth="1"/>
    <col min="4" max="4" width="12" customWidth="1"/>
    <col min="5" max="8" width="14" customWidth="1"/>
  </cols>
  <sheetData>
    <row r="1" spans="1:8" ht="34.5" customHeight="1" x14ac:dyDescent="0.2">
      <c r="A1" s="26" t="s">
        <v>267</v>
      </c>
      <c r="B1" s="26"/>
      <c r="C1" s="26"/>
      <c r="D1" s="26"/>
      <c r="E1" s="26"/>
      <c r="F1" s="26"/>
      <c r="G1" s="26"/>
      <c r="H1" s="26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ht="21.75" customHeight="1" x14ac:dyDescent="0.2">
      <c r="A3" s="31" t="s">
        <v>268</v>
      </c>
      <c r="B3" s="31"/>
      <c r="C3" s="31"/>
      <c r="D3" s="31"/>
      <c r="E3" s="31"/>
      <c r="F3" s="31"/>
      <c r="G3" s="31"/>
      <c r="H3" s="31"/>
    </row>
    <row r="4" spans="1:8" ht="18" customHeight="1" x14ac:dyDescent="0.2">
      <c r="A4" s="5" t="s">
        <v>59</v>
      </c>
      <c r="B4" s="5" t="s">
        <v>50</v>
      </c>
      <c r="C4" s="5" t="s">
        <v>51</v>
      </c>
      <c r="D4" s="5" t="s">
        <v>52</v>
      </c>
      <c r="E4" s="5" t="s">
        <v>269</v>
      </c>
      <c r="F4" s="5" t="s">
        <v>54</v>
      </c>
      <c r="G4" s="5" t="s">
        <v>55</v>
      </c>
      <c r="H4" s="6" t="s">
        <v>270</v>
      </c>
    </row>
    <row r="5" spans="1:8" ht="18" customHeight="1" x14ac:dyDescent="0.2">
      <c r="A5" s="7" t="s">
        <v>67</v>
      </c>
      <c r="B5" s="8">
        <v>8200</v>
      </c>
      <c r="C5" s="8">
        <v>1250</v>
      </c>
      <c r="D5" s="8">
        <v>420</v>
      </c>
      <c r="E5" s="14">
        <v>1394</v>
      </c>
      <c r="F5" s="14">
        <v>1125</v>
      </c>
      <c r="G5" s="14">
        <v>840</v>
      </c>
      <c r="H5" s="37">
        <f t="shared" ref="H5:H28" si="0">SUM(E5:G5)</f>
        <v>3359</v>
      </c>
    </row>
    <row r="6" spans="1:8" ht="18" customHeight="1" x14ac:dyDescent="0.2">
      <c r="A6" s="7" t="s">
        <v>68</v>
      </c>
      <c r="B6" s="8">
        <v>7800</v>
      </c>
      <c r="C6" s="8">
        <v>1180</v>
      </c>
      <c r="D6" s="8">
        <v>445</v>
      </c>
      <c r="E6" s="14">
        <v>1326</v>
      </c>
      <c r="F6" s="14">
        <v>1062</v>
      </c>
      <c r="G6" s="14">
        <v>890</v>
      </c>
      <c r="H6" s="37">
        <f t="shared" si="0"/>
        <v>3278</v>
      </c>
    </row>
    <row r="7" spans="1:8" ht="18" customHeight="1" x14ac:dyDescent="0.2">
      <c r="A7" s="7" t="s">
        <v>69</v>
      </c>
      <c r="B7" s="8">
        <v>8100</v>
      </c>
      <c r="C7" s="8">
        <v>1220</v>
      </c>
      <c r="D7" s="8">
        <v>430</v>
      </c>
      <c r="E7" s="14">
        <v>1377</v>
      </c>
      <c r="F7" s="14">
        <v>1098</v>
      </c>
      <c r="G7" s="14">
        <v>860</v>
      </c>
      <c r="H7" s="37">
        <f t="shared" si="0"/>
        <v>3335</v>
      </c>
    </row>
    <row r="8" spans="1:8" ht="18" customHeight="1" x14ac:dyDescent="0.2">
      <c r="A8" s="7" t="s">
        <v>70</v>
      </c>
      <c r="B8" s="8">
        <v>7900</v>
      </c>
      <c r="C8" s="8">
        <v>1190</v>
      </c>
      <c r="D8" s="8">
        <v>450</v>
      </c>
      <c r="E8" s="14">
        <v>1343</v>
      </c>
      <c r="F8" s="14">
        <v>1071</v>
      </c>
      <c r="G8" s="14">
        <v>900</v>
      </c>
      <c r="H8" s="37">
        <f t="shared" si="0"/>
        <v>3314</v>
      </c>
    </row>
    <row r="9" spans="1:8" ht="18" customHeight="1" x14ac:dyDescent="0.2">
      <c r="A9" s="7" t="s">
        <v>73</v>
      </c>
      <c r="B9" s="8">
        <v>8400</v>
      </c>
      <c r="C9" s="8">
        <v>1300</v>
      </c>
      <c r="D9" s="8">
        <v>410</v>
      </c>
      <c r="E9" s="14">
        <v>1428</v>
      </c>
      <c r="F9" s="14">
        <v>1170</v>
      </c>
      <c r="G9" s="14">
        <v>820</v>
      </c>
      <c r="H9" s="37">
        <f t="shared" si="0"/>
        <v>3418</v>
      </c>
    </row>
    <row r="10" spans="1:8" ht="18" customHeight="1" x14ac:dyDescent="0.2">
      <c r="A10" s="7" t="s">
        <v>74</v>
      </c>
      <c r="B10" s="8">
        <v>8000</v>
      </c>
      <c r="C10" s="8">
        <v>1240</v>
      </c>
      <c r="D10" s="8">
        <v>435</v>
      </c>
      <c r="E10" s="14">
        <v>1360</v>
      </c>
      <c r="F10" s="14">
        <v>1116</v>
      </c>
      <c r="G10" s="14">
        <v>870</v>
      </c>
      <c r="H10" s="37">
        <f t="shared" si="0"/>
        <v>3346</v>
      </c>
    </row>
    <row r="11" spans="1:8" ht="18" customHeight="1" x14ac:dyDescent="0.2">
      <c r="A11" s="7" t="s">
        <v>75</v>
      </c>
      <c r="B11" s="8">
        <v>8300</v>
      </c>
      <c r="C11" s="8">
        <v>1270</v>
      </c>
      <c r="D11" s="8">
        <v>420</v>
      </c>
      <c r="E11" s="14">
        <v>1411</v>
      </c>
      <c r="F11" s="14">
        <v>1143</v>
      </c>
      <c r="G11" s="14">
        <v>840</v>
      </c>
      <c r="H11" s="37">
        <f t="shared" si="0"/>
        <v>3394</v>
      </c>
    </row>
    <row r="12" spans="1:8" ht="18" customHeight="1" x14ac:dyDescent="0.2">
      <c r="A12" s="7" t="s">
        <v>76</v>
      </c>
      <c r="B12" s="8">
        <v>8100</v>
      </c>
      <c r="C12" s="8">
        <v>1200</v>
      </c>
      <c r="D12" s="8">
        <v>420</v>
      </c>
      <c r="E12" s="14">
        <v>1377</v>
      </c>
      <c r="F12" s="14">
        <v>1080</v>
      </c>
      <c r="G12" s="14">
        <v>840</v>
      </c>
      <c r="H12" s="37">
        <f t="shared" si="0"/>
        <v>3297</v>
      </c>
    </row>
    <row r="13" spans="1:8" ht="18" customHeight="1" x14ac:dyDescent="0.2">
      <c r="A13" s="7" t="s">
        <v>79</v>
      </c>
      <c r="B13" s="8">
        <v>7400</v>
      </c>
      <c r="C13" s="8">
        <v>1020</v>
      </c>
      <c r="D13" s="8">
        <v>430</v>
      </c>
      <c r="E13" s="14">
        <v>1258</v>
      </c>
      <c r="F13" s="14">
        <v>918</v>
      </c>
      <c r="G13" s="14">
        <v>860</v>
      </c>
      <c r="H13" s="37">
        <f t="shared" si="0"/>
        <v>3036</v>
      </c>
    </row>
    <row r="14" spans="1:8" ht="18" customHeight="1" x14ac:dyDescent="0.2">
      <c r="A14" s="7" t="s">
        <v>80</v>
      </c>
      <c r="B14" s="8">
        <v>7100</v>
      </c>
      <c r="C14" s="8">
        <v>950</v>
      </c>
      <c r="D14" s="8">
        <v>425</v>
      </c>
      <c r="E14" s="14">
        <v>1207</v>
      </c>
      <c r="F14" s="14">
        <v>855</v>
      </c>
      <c r="G14" s="14">
        <v>850</v>
      </c>
      <c r="H14" s="37">
        <f t="shared" si="0"/>
        <v>2912</v>
      </c>
    </row>
    <row r="15" spans="1:8" ht="18" customHeight="1" x14ac:dyDescent="0.2">
      <c r="A15" s="7" t="s">
        <v>81</v>
      </c>
      <c r="B15" s="8">
        <v>7000</v>
      </c>
      <c r="C15" s="8">
        <v>880</v>
      </c>
      <c r="D15" s="8">
        <v>430</v>
      </c>
      <c r="E15" s="14">
        <v>1190</v>
      </c>
      <c r="F15" s="14">
        <v>792</v>
      </c>
      <c r="G15" s="14">
        <v>860</v>
      </c>
      <c r="H15" s="37">
        <f t="shared" si="0"/>
        <v>2842</v>
      </c>
    </row>
    <row r="16" spans="1:8" ht="18" customHeight="1" x14ac:dyDescent="0.2">
      <c r="A16" s="7" t="s">
        <v>82</v>
      </c>
      <c r="B16" s="8">
        <v>6900</v>
      </c>
      <c r="C16" s="8">
        <v>800</v>
      </c>
      <c r="D16" s="8">
        <v>435</v>
      </c>
      <c r="E16" s="14">
        <v>1173</v>
      </c>
      <c r="F16" s="14">
        <v>720</v>
      </c>
      <c r="G16" s="14">
        <v>870</v>
      </c>
      <c r="H16" s="37">
        <f t="shared" si="0"/>
        <v>2763</v>
      </c>
    </row>
    <row r="17" spans="1:8" ht="18" customHeight="1" x14ac:dyDescent="0.2">
      <c r="A17" s="7" t="s">
        <v>85</v>
      </c>
      <c r="B17" s="8">
        <v>5900</v>
      </c>
      <c r="C17" s="8">
        <v>550</v>
      </c>
      <c r="D17" s="8">
        <v>460</v>
      </c>
      <c r="E17" s="14">
        <v>1003</v>
      </c>
      <c r="F17" s="14">
        <v>495</v>
      </c>
      <c r="G17" s="14">
        <v>920</v>
      </c>
      <c r="H17" s="37">
        <f t="shared" si="0"/>
        <v>2418</v>
      </c>
    </row>
    <row r="18" spans="1:8" ht="18" customHeight="1" x14ac:dyDescent="0.2">
      <c r="A18" s="7" t="s">
        <v>86</v>
      </c>
      <c r="B18" s="8">
        <v>5700</v>
      </c>
      <c r="C18" s="8">
        <v>510</v>
      </c>
      <c r="D18" s="8">
        <v>480</v>
      </c>
      <c r="E18" s="14">
        <v>969</v>
      </c>
      <c r="F18" s="14">
        <v>459</v>
      </c>
      <c r="G18" s="14">
        <v>960</v>
      </c>
      <c r="H18" s="37">
        <f t="shared" si="0"/>
        <v>2388</v>
      </c>
    </row>
    <row r="19" spans="1:8" ht="18" customHeight="1" x14ac:dyDescent="0.2">
      <c r="A19" s="7" t="s">
        <v>87</v>
      </c>
      <c r="B19" s="8">
        <v>5700</v>
      </c>
      <c r="C19" s="8">
        <v>510</v>
      </c>
      <c r="D19" s="8">
        <v>470</v>
      </c>
      <c r="E19" s="14">
        <v>969</v>
      </c>
      <c r="F19" s="14">
        <v>459</v>
      </c>
      <c r="G19" s="14">
        <v>940</v>
      </c>
      <c r="H19" s="37">
        <f t="shared" si="0"/>
        <v>2368</v>
      </c>
    </row>
    <row r="20" spans="1:8" ht="18" customHeight="1" x14ac:dyDescent="0.2">
      <c r="A20" s="7" t="s">
        <v>88</v>
      </c>
      <c r="B20" s="8">
        <v>5500</v>
      </c>
      <c r="C20" s="8">
        <v>510</v>
      </c>
      <c r="D20" s="8">
        <v>460</v>
      </c>
      <c r="E20" s="14">
        <v>935</v>
      </c>
      <c r="F20" s="14">
        <v>459</v>
      </c>
      <c r="G20" s="14">
        <v>920</v>
      </c>
      <c r="H20" s="37">
        <f t="shared" si="0"/>
        <v>2314</v>
      </c>
    </row>
    <row r="21" spans="1:8" ht="18" customHeight="1" x14ac:dyDescent="0.2">
      <c r="A21" s="7" t="s">
        <v>91</v>
      </c>
      <c r="B21" s="8">
        <v>4800</v>
      </c>
      <c r="C21" s="8">
        <v>180</v>
      </c>
      <c r="D21" s="8">
        <v>530</v>
      </c>
      <c r="E21" s="14">
        <v>816</v>
      </c>
      <c r="F21" s="14">
        <v>162</v>
      </c>
      <c r="G21" s="14">
        <v>1060</v>
      </c>
      <c r="H21" s="37">
        <f t="shared" si="0"/>
        <v>2038</v>
      </c>
    </row>
    <row r="22" spans="1:8" ht="18" customHeight="1" x14ac:dyDescent="0.2">
      <c r="A22" s="7" t="s">
        <v>92</v>
      </c>
      <c r="B22" s="8">
        <v>4600</v>
      </c>
      <c r="C22" s="8">
        <v>160</v>
      </c>
      <c r="D22" s="8">
        <v>540</v>
      </c>
      <c r="E22" s="14">
        <v>782</v>
      </c>
      <c r="F22" s="14">
        <v>144</v>
      </c>
      <c r="G22" s="14">
        <v>1080</v>
      </c>
      <c r="H22" s="37">
        <f t="shared" si="0"/>
        <v>2006</v>
      </c>
    </row>
    <row r="23" spans="1:8" ht="18" customHeight="1" x14ac:dyDescent="0.2">
      <c r="A23" s="7" t="s">
        <v>93</v>
      </c>
      <c r="B23" s="8">
        <v>4600</v>
      </c>
      <c r="C23" s="8">
        <v>150</v>
      </c>
      <c r="D23" s="8">
        <v>540</v>
      </c>
      <c r="E23" s="14">
        <v>782</v>
      </c>
      <c r="F23" s="14">
        <v>135</v>
      </c>
      <c r="G23" s="14">
        <v>1080</v>
      </c>
      <c r="H23" s="37">
        <f t="shared" si="0"/>
        <v>1997</v>
      </c>
    </row>
    <row r="24" spans="1:8" ht="18" customHeight="1" x14ac:dyDescent="0.2">
      <c r="A24" s="7" t="s">
        <v>94</v>
      </c>
      <c r="B24" s="8">
        <v>4500</v>
      </c>
      <c r="C24" s="8">
        <v>130</v>
      </c>
      <c r="D24" s="8">
        <v>540</v>
      </c>
      <c r="E24" s="14">
        <v>765</v>
      </c>
      <c r="F24" s="14">
        <v>117</v>
      </c>
      <c r="G24" s="14">
        <v>1080</v>
      </c>
      <c r="H24" s="37">
        <f t="shared" si="0"/>
        <v>1962</v>
      </c>
    </row>
    <row r="25" spans="1:8" ht="18" customHeight="1" x14ac:dyDescent="0.2">
      <c r="A25" s="7" t="s">
        <v>97</v>
      </c>
      <c r="B25" s="8">
        <v>4300</v>
      </c>
      <c r="C25" s="8">
        <v>40</v>
      </c>
      <c r="D25" s="8">
        <v>590</v>
      </c>
      <c r="E25" s="14">
        <v>731</v>
      </c>
      <c r="F25" s="14">
        <v>36</v>
      </c>
      <c r="G25" s="14">
        <v>1180</v>
      </c>
      <c r="H25" s="37">
        <f t="shared" si="0"/>
        <v>1947</v>
      </c>
    </row>
    <row r="26" spans="1:8" ht="18" customHeight="1" x14ac:dyDescent="0.2">
      <c r="A26" s="7" t="s">
        <v>98</v>
      </c>
      <c r="B26" s="8">
        <v>4200</v>
      </c>
      <c r="C26" s="8">
        <v>40</v>
      </c>
      <c r="D26" s="8">
        <v>600</v>
      </c>
      <c r="E26" s="14">
        <v>714</v>
      </c>
      <c r="F26" s="14">
        <v>36</v>
      </c>
      <c r="G26" s="14">
        <v>1200</v>
      </c>
      <c r="H26" s="37">
        <f t="shared" si="0"/>
        <v>1950</v>
      </c>
    </row>
    <row r="27" spans="1:8" ht="18" customHeight="1" x14ac:dyDescent="0.2">
      <c r="A27" s="7" t="s">
        <v>99</v>
      </c>
      <c r="B27" s="8">
        <v>4200</v>
      </c>
      <c r="C27" s="8">
        <v>40</v>
      </c>
      <c r="D27" s="8">
        <v>600</v>
      </c>
      <c r="E27" s="14">
        <v>714</v>
      </c>
      <c r="F27" s="14">
        <v>36</v>
      </c>
      <c r="G27" s="14">
        <v>1200</v>
      </c>
      <c r="H27" s="37">
        <f t="shared" si="0"/>
        <v>1950</v>
      </c>
    </row>
    <row r="28" spans="1:8" ht="18" customHeight="1" x14ac:dyDescent="0.2">
      <c r="A28" s="7" t="s">
        <v>100</v>
      </c>
      <c r="B28" s="8">
        <v>4100</v>
      </c>
      <c r="C28" s="8">
        <v>30</v>
      </c>
      <c r="D28" s="8">
        <v>590</v>
      </c>
      <c r="E28" s="14">
        <v>697</v>
      </c>
      <c r="F28" s="14">
        <v>27</v>
      </c>
      <c r="G28" s="14">
        <v>1180</v>
      </c>
      <c r="H28" s="37">
        <f t="shared" si="0"/>
        <v>1904</v>
      </c>
    </row>
    <row r="29" spans="1:8" ht="19.5" customHeight="1" x14ac:dyDescent="0.2">
      <c r="A29" s="16" t="s">
        <v>271</v>
      </c>
      <c r="B29" s="9">
        <f t="shared" ref="B29:H29" si="1">SUM(B5:B28)</f>
        <v>151300</v>
      </c>
      <c r="C29" s="9">
        <f t="shared" si="1"/>
        <v>16350</v>
      </c>
      <c r="D29" s="9">
        <f t="shared" si="1"/>
        <v>11550</v>
      </c>
      <c r="E29" s="15">
        <f t="shared" si="1"/>
        <v>25721</v>
      </c>
      <c r="F29" s="15">
        <f t="shared" si="1"/>
        <v>14715</v>
      </c>
      <c r="G29" s="15">
        <f t="shared" si="1"/>
        <v>23100</v>
      </c>
      <c r="H29" s="37">
        <f t="shared" si="1"/>
        <v>63536</v>
      </c>
    </row>
    <row r="30" spans="1:8" x14ac:dyDescent="0.2">
      <c r="A30" s="13"/>
      <c r="B30" s="13"/>
      <c r="C30" s="13"/>
      <c r="D30" s="13"/>
      <c r="E30" s="13"/>
      <c r="F30" s="13"/>
      <c r="G30" s="13"/>
      <c r="H30" s="13"/>
    </row>
    <row r="31" spans="1:8" ht="21.75" customHeight="1" x14ac:dyDescent="0.2">
      <c r="A31" s="31" t="s">
        <v>272</v>
      </c>
      <c r="B31" s="31"/>
      <c r="C31" s="31"/>
      <c r="D31" s="31"/>
      <c r="E31" s="31"/>
      <c r="F31" s="31"/>
      <c r="G31" s="31"/>
      <c r="H31" s="31"/>
    </row>
    <row r="32" spans="1:8" ht="18" customHeight="1" x14ac:dyDescent="0.2">
      <c r="A32" s="5" t="s">
        <v>273</v>
      </c>
      <c r="B32" s="5" t="s">
        <v>274</v>
      </c>
      <c r="C32" s="5" t="s">
        <v>180</v>
      </c>
      <c r="D32" s="5" t="s">
        <v>181</v>
      </c>
      <c r="E32" s="5" t="s">
        <v>5</v>
      </c>
      <c r="F32" s="5" t="s">
        <v>182</v>
      </c>
      <c r="G32" s="5" t="s">
        <v>7</v>
      </c>
      <c r="H32" s="6" t="s">
        <v>8</v>
      </c>
    </row>
    <row r="33" spans="1:8" ht="19.5" customHeight="1" x14ac:dyDescent="0.2">
      <c r="A33" s="7" t="s">
        <v>275</v>
      </c>
      <c r="B33" s="7" t="s">
        <v>276</v>
      </c>
      <c r="C33" s="42" t="s">
        <v>277</v>
      </c>
      <c r="D33" s="42" t="s">
        <v>278</v>
      </c>
      <c r="E33" s="42" t="s">
        <v>279</v>
      </c>
      <c r="F33" s="42" t="s">
        <v>280</v>
      </c>
      <c r="G33" s="42" t="s">
        <v>281</v>
      </c>
      <c r="H33" s="22" t="s">
        <v>282</v>
      </c>
    </row>
    <row r="34" spans="1:8" ht="19.5" customHeight="1" x14ac:dyDescent="0.2">
      <c r="A34" s="7" t="s">
        <v>283</v>
      </c>
      <c r="B34" s="7" t="s">
        <v>284</v>
      </c>
      <c r="C34" s="42" t="s">
        <v>285</v>
      </c>
      <c r="D34" s="42" t="s">
        <v>286</v>
      </c>
      <c r="E34" s="42" t="s">
        <v>287</v>
      </c>
      <c r="F34" s="42" t="s">
        <v>288</v>
      </c>
      <c r="G34" s="42" t="s">
        <v>289</v>
      </c>
      <c r="H34" s="22" t="s">
        <v>290</v>
      </c>
    </row>
    <row r="35" spans="1:8" ht="19.5" customHeight="1" x14ac:dyDescent="0.2">
      <c r="A35" s="7" t="s">
        <v>291</v>
      </c>
      <c r="B35" s="7" t="s">
        <v>292</v>
      </c>
      <c r="C35" s="42" t="s">
        <v>293</v>
      </c>
      <c r="D35" s="42" t="s">
        <v>294</v>
      </c>
      <c r="E35" s="42" t="s">
        <v>277</v>
      </c>
      <c r="F35" s="42" t="s">
        <v>295</v>
      </c>
      <c r="G35" s="42" t="s">
        <v>296</v>
      </c>
      <c r="H35" s="22" t="s">
        <v>297</v>
      </c>
    </row>
    <row r="36" spans="1:8" ht="19.5" customHeight="1" x14ac:dyDescent="0.2">
      <c r="A36" s="7" t="s">
        <v>298</v>
      </c>
      <c r="B36" s="7" t="s">
        <v>299</v>
      </c>
      <c r="C36" s="42" t="s">
        <v>300</v>
      </c>
      <c r="D36" s="42" t="s">
        <v>301</v>
      </c>
      <c r="E36" s="42" t="s">
        <v>302</v>
      </c>
      <c r="F36" s="42" t="s">
        <v>303</v>
      </c>
      <c r="G36" s="42" t="s">
        <v>304</v>
      </c>
      <c r="H36" s="22" t="s">
        <v>305</v>
      </c>
    </row>
    <row r="37" spans="1:8" ht="19.5" customHeight="1" x14ac:dyDescent="0.2">
      <c r="A37" s="44" t="s">
        <v>306</v>
      </c>
      <c r="B37" s="44" t="s">
        <v>307</v>
      </c>
      <c r="C37" s="45" t="s">
        <v>308</v>
      </c>
      <c r="D37" s="45" t="s">
        <v>308</v>
      </c>
      <c r="E37" s="45" t="s">
        <v>309</v>
      </c>
      <c r="F37" s="45" t="s">
        <v>310</v>
      </c>
      <c r="G37" s="45" t="s">
        <v>311</v>
      </c>
      <c r="H37" s="47" t="s">
        <v>312</v>
      </c>
    </row>
  </sheetData>
  <mergeCells count="3">
    <mergeCell ref="A1:H1"/>
    <mergeCell ref="A3:H3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Fréquentation</vt:lpstr>
      <vt:lpstr>Qualité Eau</vt:lpstr>
      <vt:lpstr>Finances</vt:lpstr>
      <vt:lpstr>RH &amp; Sécurité</vt:lpstr>
      <vt:lpstr>Énergie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Lionel Myszka</cp:lastModifiedBy>
  <cp:revision>0</cp:revision>
  <dcterms:created xsi:type="dcterms:W3CDTF">2026-02-25T09:30:41Z</dcterms:created>
  <dcterms:modified xsi:type="dcterms:W3CDTF">2026-09-28T12:28:46Z</dcterms:modified>
  <dc:language>en-US</dc:language>
</cp:coreProperties>
</file>